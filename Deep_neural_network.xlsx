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ff0c0839659a90/Documents/"/>
    </mc:Choice>
  </mc:AlternateContent>
  <xr:revisionPtr revIDLastSave="513" documentId="8_{2A9B50E5-87B0-450F-81BE-28E990221EE8}" xr6:coauthVersionLast="47" xr6:coauthVersionMax="47" xr10:uidLastSave="{D957CFCF-BB37-486B-9E7E-552FA2021ED9}"/>
  <bookViews>
    <workbookView xWindow="-108" yWindow="-108" windowWidth="23256" windowHeight="12456" xr2:uid="{DD592679-1061-435F-9A68-96DCD5EF6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57" i="1" l="1"/>
  <c r="AL257" i="1"/>
  <c r="AH257" i="1"/>
  <c r="AG257" i="1"/>
  <c r="AM256" i="1"/>
  <c r="AL256" i="1"/>
  <c r="AH256" i="1"/>
  <c r="AG256" i="1"/>
  <c r="AM255" i="1"/>
  <c r="AL255" i="1"/>
  <c r="AH255" i="1"/>
  <c r="AG255" i="1"/>
  <c r="AM254" i="1"/>
  <c r="AL254" i="1"/>
  <c r="AH254" i="1"/>
  <c r="AG254" i="1"/>
  <c r="AM249" i="1"/>
  <c r="AL249" i="1"/>
  <c r="AH249" i="1"/>
  <c r="AG249" i="1"/>
  <c r="AM248" i="1"/>
  <c r="AL248" i="1"/>
  <c r="AH248" i="1"/>
  <c r="AG248" i="1"/>
  <c r="AM247" i="1"/>
  <c r="AL247" i="1"/>
  <c r="AH247" i="1"/>
  <c r="AG247" i="1"/>
  <c r="AM246" i="1"/>
  <c r="AL246" i="1"/>
  <c r="AH246" i="1"/>
  <c r="AG246" i="1"/>
  <c r="AM241" i="1"/>
  <c r="AL241" i="1"/>
  <c r="AH241" i="1"/>
  <c r="AG241" i="1"/>
  <c r="AM240" i="1"/>
  <c r="AL240" i="1"/>
  <c r="AH240" i="1"/>
  <c r="AG240" i="1"/>
  <c r="AM239" i="1"/>
  <c r="AL239" i="1"/>
  <c r="AH239" i="1"/>
  <c r="AG239" i="1"/>
  <c r="AM238" i="1"/>
  <c r="AL238" i="1"/>
  <c r="AH238" i="1"/>
  <c r="AG238" i="1"/>
  <c r="AM233" i="1"/>
  <c r="AL233" i="1"/>
  <c r="AH233" i="1"/>
  <c r="AG233" i="1"/>
  <c r="AM232" i="1"/>
  <c r="AL232" i="1"/>
  <c r="AH232" i="1"/>
  <c r="AG232" i="1"/>
  <c r="AM231" i="1"/>
  <c r="AL231" i="1"/>
  <c r="AH231" i="1"/>
  <c r="AG231" i="1"/>
  <c r="AM230" i="1"/>
  <c r="AL230" i="1"/>
  <c r="AH230" i="1"/>
  <c r="AG230" i="1"/>
  <c r="AM225" i="1"/>
  <c r="AL225" i="1"/>
  <c r="AH225" i="1"/>
  <c r="AG225" i="1"/>
  <c r="AM224" i="1"/>
  <c r="AL224" i="1"/>
  <c r="AH224" i="1"/>
  <c r="AG224" i="1"/>
  <c r="AM223" i="1"/>
  <c r="AL223" i="1"/>
  <c r="AH223" i="1"/>
  <c r="AG223" i="1"/>
  <c r="AM222" i="1"/>
  <c r="AL222" i="1"/>
  <c r="AH222" i="1"/>
  <c r="AG222" i="1"/>
  <c r="AM217" i="1"/>
  <c r="AL217" i="1"/>
  <c r="AH217" i="1"/>
  <c r="AG217" i="1"/>
  <c r="AM216" i="1"/>
  <c r="AL216" i="1"/>
  <c r="AH216" i="1"/>
  <c r="AG216" i="1"/>
  <c r="AM215" i="1"/>
  <c r="AL215" i="1"/>
  <c r="AH215" i="1"/>
  <c r="AG215" i="1"/>
  <c r="AM214" i="1"/>
  <c r="AL214" i="1"/>
  <c r="AH214" i="1"/>
  <c r="AG214" i="1"/>
  <c r="AM209" i="1"/>
  <c r="AL209" i="1"/>
  <c r="AH209" i="1"/>
  <c r="AG209" i="1"/>
  <c r="AM208" i="1"/>
  <c r="AL208" i="1"/>
  <c r="AH208" i="1"/>
  <c r="AG208" i="1"/>
  <c r="AM207" i="1"/>
  <c r="AL207" i="1"/>
  <c r="AH207" i="1"/>
  <c r="AG207" i="1"/>
  <c r="AM206" i="1"/>
  <c r="AL206" i="1"/>
  <c r="AH206" i="1"/>
  <c r="AG206" i="1"/>
  <c r="AM201" i="1"/>
  <c r="AL201" i="1"/>
  <c r="AH201" i="1"/>
  <c r="AG201" i="1"/>
  <c r="AM200" i="1"/>
  <c r="AL200" i="1"/>
  <c r="AH200" i="1"/>
  <c r="AG200" i="1"/>
  <c r="AM199" i="1"/>
  <c r="AL199" i="1"/>
  <c r="AH199" i="1"/>
  <c r="AG199" i="1"/>
  <c r="AM198" i="1"/>
  <c r="AL198" i="1"/>
  <c r="AH198" i="1"/>
  <c r="AG198" i="1"/>
  <c r="AM193" i="1"/>
  <c r="AL193" i="1"/>
  <c r="AH193" i="1"/>
  <c r="AG193" i="1"/>
  <c r="AM192" i="1"/>
  <c r="AL192" i="1"/>
  <c r="AH192" i="1"/>
  <c r="AG192" i="1"/>
  <c r="AM191" i="1"/>
  <c r="AL191" i="1"/>
  <c r="AH191" i="1"/>
  <c r="AG191" i="1"/>
  <c r="AM190" i="1"/>
  <c r="AL190" i="1"/>
  <c r="AH190" i="1"/>
  <c r="AG190" i="1"/>
  <c r="AM185" i="1"/>
  <c r="AL185" i="1"/>
  <c r="AH185" i="1"/>
  <c r="AG185" i="1"/>
  <c r="AM184" i="1"/>
  <c r="AL184" i="1"/>
  <c r="AH184" i="1"/>
  <c r="AG184" i="1"/>
  <c r="AM183" i="1"/>
  <c r="AL183" i="1"/>
  <c r="AH183" i="1"/>
  <c r="AG183" i="1"/>
  <c r="AM182" i="1"/>
  <c r="AL182" i="1"/>
  <c r="AH182" i="1"/>
  <c r="AG182" i="1"/>
  <c r="AM177" i="1"/>
  <c r="AL177" i="1"/>
  <c r="AH177" i="1"/>
  <c r="AG177" i="1"/>
  <c r="AM176" i="1"/>
  <c r="AL176" i="1"/>
  <c r="AH176" i="1"/>
  <c r="AG176" i="1"/>
  <c r="AM175" i="1"/>
  <c r="AL175" i="1"/>
  <c r="AH175" i="1"/>
  <c r="AG175" i="1"/>
  <c r="AM174" i="1"/>
  <c r="AL174" i="1"/>
  <c r="AH174" i="1"/>
  <c r="AG174" i="1"/>
  <c r="AM169" i="1"/>
  <c r="AL169" i="1"/>
  <c r="AH169" i="1"/>
  <c r="AG169" i="1"/>
  <c r="AM168" i="1"/>
  <c r="AL168" i="1"/>
  <c r="AH168" i="1"/>
  <c r="AG168" i="1"/>
  <c r="AM167" i="1"/>
  <c r="AL167" i="1"/>
  <c r="AH167" i="1"/>
  <c r="AG167" i="1"/>
  <c r="AM166" i="1"/>
  <c r="AL166" i="1"/>
  <c r="AH166" i="1"/>
  <c r="AG166" i="1"/>
  <c r="AM161" i="1"/>
  <c r="AL161" i="1"/>
  <c r="AH161" i="1"/>
  <c r="AG161" i="1"/>
  <c r="AM160" i="1"/>
  <c r="AL160" i="1"/>
  <c r="AH160" i="1"/>
  <c r="AG160" i="1"/>
  <c r="AM159" i="1"/>
  <c r="AL159" i="1"/>
  <c r="AH159" i="1"/>
  <c r="AG159" i="1"/>
  <c r="AM158" i="1"/>
  <c r="AL158" i="1"/>
  <c r="AH158" i="1"/>
  <c r="AG158" i="1"/>
  <c r="AM153" i="1"/>
  <c r="AL153" i="1"/>
  <c r="AH153" i="1"/>
  <c r="AG153" i="1"/>
  <c r="AM152" i="1"/>
  <c r="AL152" i="1"/>
  <c r="AH152" i="1"/>
  <c r="AG152" i="1"/>
  <c r="AM151" i="1"/>
  <c r="AL151" i="1"/>
  <c r="AH151" i="1"/>
  <c r="AG151" i="1"/>
  <c r="AM150" i="1"/>
  <c r="AL150" i="1"/>
  <c r="AH150" i="1"/>
  <c r="AG150" i="1"/>
  <c r="AM145" i="1"/>
  <c r="AL145" i="1"/>
  <c r="AH145" i="1"/>
  <c r="AG145" i="1"/>
  <c r="AM144" i="1"/>
  <c r="AL144" i="1"/>
  <c r="AH144" i="1"/>
  <c r="AG144" i="1"/>
  <c r="AM143" i="1"/>
  <c r="AL143" i="1"/>
  <c r="AH143" i="1"/>
  <c r="AG143" i="1"/>
  <c r="AM142" i="1"/>
  <c r="AL142" i="1"/>
  <c r="AH142" i="1"/>
  <c r="AG142" i="1"/>
  <c r="AM137" i="1"/>
  <c r="AL137" i="1"/>
  <c r="AH137" i="1"/>
  <c r="AG137" i="1"/>
  <c r="AM136" i="1"/>
  <c r="AL136" i="1"/>
  <c r="AH136" i="1"/>
  <c r="AG136" i="1"/>
  <c r="AM135" i="1"/>
  <c r="AL135" i="1"/>
  <c r="AH135" i="1"/>
  <c r="AG135" i="1"/>
  <c r="AM134" i="1"/>
  <c r="AL134" i="1"/>
  <c r="AH134" i="1"/>
  <c r="AG134" i="1"/>
  <c r="AM129" i="1"/>
  <c r="AL129" i="1"/>
  <c r="AH129" i="1"/>
  <c r="AG129" i="1"/>
  <c r="AM128" i="1"/>
  <c r="AL128" i="1"/>
  <c r="AH128" i="1"/>
  <c r="AG128" i="1"/>
  <c r="AM127" i="1"/>
  <c r="AL127" i="1"/>
  <c r="AH127" i="1"/>
  <c r="AG127" i="1"/>
  <c r="AM126" i="1"/>
  <c r="AL126" i="1"/>
  <c r="AH126" i="1"/>
  <c r="AG126" i="1"/>
  <c r="AM121" i="1"/>
  <c r="AL121" i="1"/>
  <c r="AH121" i="1"/>
  <c r="AG121" i="1"/>
  <c r="AM120" i="1"/>
  <c r="AL120" i="1"/>
  <c r="AH120" i="1"/>
  <c r="AG120" i="1"/>
  <c r="AM119" i="1"/>
  <c r="AL119" i="1"/>
  <c r="AH119" i="1"/>
  <c r="AG119" i="1"/>
  <c r="AM118" i="1"/>
  <c r="AL118" i="1"/>
  <c r="AH118" i="1"/>
  <c r="AG118" i="1"/>
  <c r="AM113" i="1"/>
  <c r="AL113" i="1"/>
  <c r="AH113" i="1"/>
  <c r="AG113" i="1"/>
  <c r="AM112" i="1"/>
  <c r="AL112" i="1"/>
  <c r="AH112" i="1"/>
  <c r="AG112" i="1"/>
  <c r="AM111" i="1"/>
  <c r="AL111" i="1"/>
  <c r="AH111" i="1"/>
  <c r="AG111" i="1"/>
  <c r="AM110" i="1"/>
  <c r="AL110" i="1"/>
  <c r="AH110" i="1"/>
  <c r="AG110" i="1"/>
  <c r="AM105" i="1"/>
  <c r="AL105" i="1"/>
  <c r="AH105" i="1"/>
  <c r="AG105" i="1"/>
  <c r="AM104" i="1"/>
  <c r="AL104" i="1"/>
  <c r="AH104" i="1"/>
  <c r="AG104" i="1"/>
  <c r="AM103" i="1"/>
  <c r="AL103" i="1"/>
  <c r="AH103" i="1"/>
  <c r="AG103" i="1"/>
  <c r="AM102" i="1"/>
  <c r="AL102" i="1"/>
  <c r="AH102" i="1"/>
  <c r="AG102" i="1"/>
  <c r="AM97" i="1"/>
  <c r="AL97" i="1"/>
  <c r="AH97" i="1"/>
  <c r="AG97" i="1"/>
  <c r="AM96" i="1"/>
  <c r="AL96" i="1"/>
  <c r="AH96" i="1"/>
  <c r="AG96" i="1"/>
  <c r="AM95" i="1"/>
  <c r="AL95" i="1"/>
  <c r="AH95" i="1"/>
  <c r="AG95" i="1"/>
  <c r="AM94" i="1"/>
  <c r="AL94" i="1"/>
  <c r="AH94" i="1"/>
  <c r="AG94" i="1"/>
  <c r="AM89" i="1"/>
  <c r="AL89" i="1"/>
  <c r="AH89" i="1"/>
  <c r="AG89" i="1"/>
  <c r="AM88" i="1"/>
  <c r="AL88" i="1"/>
  <c r="AH88" i="1"/>
  <c r="AG88" i="1"/>
  <c r="AM87" i="1"/>
  <c r="AL87" i="1"/>
  <c r="AH87" i="1"/>
  <c r="AG87" i="1"/>
  <c r="AM86" i="1"/>
  <c r="AL86" i="1"/>
  <c r="AH86" i="1"/>
  <c r="AG86" i="1"/>
  <c r="AM81" i="1"/>
  <c r="AL81" i="1"/>
  <c r="AH81" i="1"/>
  <c r="AG81" i="1"/>
  <c r="AM80" i="1"/>
  <c r="AL80" i="1"/>
  <c r="AH80" i="1"/>
  <c r="AG80" i="1"/>
  <c r="AM79" i="1"/>
  <c r="AL79" i="1"/>
  <c r="AH79" i="1"/>
  <c r="AG79" i="1"/>
  <c r="AM78" i="1"/>
  <c r="AL78" i="1"/>
  <c r="AH78" i="1"/>
  <c r="AG78" i="1"/>
  <c r="AM73" i="1"/>
  <c r="AL73" i="1"/>
  <c r="AH73" i="1"/>
  <c r="AG73" i="1"/>
  <c r="AM72" i="1"/>
  <c r="AL72" i="1"/>
  <c r="AH72" i="1"/>
  <c r="AG72" i="1"/>
  <c r="AM71" i="1"/>
  <c r="AL71" i="1"/>
  <c r="AH71" i="1"/>
  <c r="AG71" i="1"/>
  <c r="AM70" i="1"/>
  <c r="AL70" i="1"/>
  <c r="AH70" i="1"/>
  <c r="AG70" i="1"/>
  <c r="AM65" i="1"/>
  <c r="AL65" i="1"/>
  <c r="AH65" i="1"/>
  <c r="AG65" i="1"/>
  <c r="AM64" i="1"/>
  <c r="AL64" i="1"/>
  <c r="AH64" i="1"/>
  <c r="AG64" i="1"/>
  <c r="AM63" i="1"/>
  <c r="AL63" i="1"/>
  <c r="AH63" i="1"/>
  <c r="AG63" i="1"/>
  <c r="AM62" i="1"/>
  <c r="AL62" i="1"/>
  <c r="AH62" i="1"/>
  <c r="AG62" i="1"/>
  <c r="AM57" i="1"/>
  <c r="AL57" i="1"/>
  <c r="AH57" i="1"/>
  <c r="AG57" i="1"/>
  <c r="AM56" i="1"/>
  <c r="AL56" i="1"/>
  <c r="AH56" i="1"/>
  <c r="AG56" i="1"/>
  <c r="AM55" i="1"/>
  <c r="AL55" i="1"/>
  <c r="AH55" i="1"/>
  <c r="AG55" i="1"/>
  <c r="AM54" i="1"/>
  <c r="AL54" i="1"/>
  <c r="AH54" i="1"/>
  <c r="AG54" i="1"/>
  <c r="AM49" i="1"/>
  <c r="AL49" i="1"/>
  <c r="AH49" i="1"/>
  <c r="AG49" i="1"/>
  <c r="AM48" i="1"/>
  <c r="AL48" i="1"/>
  <c r="AH48" i="1"/>
  <c r="AG48" i="1"/>
  <c r="AM47" i="1"/>
  <c r="AL47" i="1"/>
  <c r="AH47" i="1"/>
  <c r="AG47" i="1"/>
  <c r="AM46" i="1"/>
  <c r="AL46" i="1"/>
  <c r="AH46" i="1"/>
  <c r="AG46" i="1"/>
  <c r="AM41" i="1"/>
  <c r="AL41" i="1"/>
  <c r="AH41" i="1"/>
  <c r="AG41" i="1"/>
  <c r="AM40" i="1"/>
  <c r="AL40" i="1"/>
  <c r="AH40" i="1"/>
  <c r="AG40" i="1"/>
  <c r="AM39" i="1"/>
  <c r="AL39" i="1"/>
  <c r="AH39" i="1"/>
  <c r="AG39" i="1"/>
  <c r="AM38" i="1"/>
  <c r="AL38" i="1"/>
  <c r="AH38" i="1"/>
  <c r="AG38" i="1"/>
  <c r="AM33" i="1"/>
  <c r="AL33" i="1"/>
  <c r="AH33" i="1"/>
  <c r="AG33" i="1"/>
  <c r="AM32" i="1"/>
  <c r="AL32" i="1"/>
  <c r="AH32" i="1"/>
  <c r="AG32" i="1"/>
  <c r="AM31" i="1"/>
  <c r="AL31" i="1"/>
  <c r="AH31" i="1"/>
  <c r="AG31" i="1"/>
  <c r="AM30" i="1"/>
  <c r="AL30" i="1"/>
  <c r="AH30" i="1"/>
  <c r="AG30" i="1"/>
  <c r="AM25" i="1"/>
  <c r="AL25" i="1"/>
  <c r="AH25" i="1"/>
  <c r="AG25" i="1"/>
  <c r="AM24" i="1"/>
  <c r="AL24" i="1"/>
  <c r="AH24" i="1"/>
  <c r="AG24" i="1"/>
  <c r="AM23" i="1"/>
  <c r="AL23" i="1"/>
  <c r="AH23" i="1"/>
  <c r="AG23" i="1"/>
  <c r="AM22" i="1"/>
  <c r="AL22" i="1"/>
  <c r="AH22" i="1"/>
  <c r="AG22" i="1"/>
  <c r="AC15" i="1" a="1"/>
  <c r="AC15" i="1" s="1"/>
  <c r="AC16" i="1" a="1"/>
  <c r="AC16" i="1" s="1"/>
  <c r="AC17" i="1" a="1"/>
  <c r="AC17" i="1" s="1"/>
  <c r="AC14" i="1" a="1"/>
  <c r="AC14" i="1" s="1"/>
  <c r="AB15" i="1" a="1"/>
  <c r="AB15" i="1" s="1"/>
  <c r="AB16" i="1" a="1"/>
  <c r="AB16" i="1" s="1"/>
  <c r="AB17" i="1" a="1"/>
  <c r="AB17" i="1" s="1"/>
  <c r="AB14" i="1" a="1"/>
  <c r="AB14" i="1" s="1"/>
  <c r="M14" i="1" a="1"/>
  <c r="M14" i="1" s="1"/>
  <c r="O14" i="1" s="1"/>
  <c r="W14" i="1" s="1"/>
  <c r="M15" i="1" a="1"/>
  <c r="M15" i="1" s="1"/>
  <c r="O15" i="1" s="1"/>
  <c r="W15" i="1" s="1"/>
  <c r="M16" i="1" a="1"/>
  <c r="M16" i="1" s="1"/>
  <c r="O16" i="1" s="1"/>
  <c r="W16" i="1" s="1"/>
  <c r="M17" i="1" a="1"/>
  <c r="M17" i="1" s="1"/>
  <c r="O17" i="1" s="1"/>
  <c r="W17" i="1" s="1"/>
  <c r="L15" i="1" a="1"/>
  <c r="L15" i="1" s="1"/>
  <c r="L16" i="1" a="1"/>
  <c r="L16" i="1" s="1"/>
  <c r="N16" i="1" s="1"/>
  <c r="L17" i="1" a="1"/>
  <c r="L17" i="1" s="1"/>
  <c r="N17" i="1" s="1"/>
  <c r="L14" i="1" a="1"/>
  <c r="L14" i="1" s="1"/>
  <c r="N14" i="1" s="1"/>
  <c r="AM15" i="1"/>
  <c r="AM16" i="1"/>
  <c r="AM17" i="1"/>
  <c r="AM14" i="1"/>
  <c r="AL15" i="1"/>
  <c r="AL16" i="1"/>
  <c r="AL17" i="1"/>
  <c r="AL14" i="1"/>
  <c r="AH15" i="1"/>
  <c r="AH16" i="1"/>
  <c r="AH17" i="1"/>
  <c r="AH14" i="1"/>
  <c r="AG15" i="1"/>
  <c r="AG16" i="1"/>
  <c r="AG17" i="1"/>
  <c r="AG14" i="1"/>
  <c r="P17" i="1" l="1" a="1"/>
  <c r="P17" i="1" s="1"/>
  <c r="Q17" i="1" s="1"/>
  <c r="AA17" i="1" s="1"/>
  <c r="P14" i="1" a="1"/>
  <c r="P14" i="1" s="1"/>
  <c r="Q14" i="1" s="1"/>
  <c r="AA14" i="1" s="1"/>
  <c r="P16" i="1" a="1"/>
  <c r="P16" i="1" s="1"/>
  <c r="Q16" i="1" s="1"/>
  <c r="AA16" i="1" s="1"/>
  <c r="V17" i="1"/>
  <c r="V16" i="1"/>
  <c r="N15" i="1"/>
  <c r="AE17" i="1"/>
  <c r="AE16" i="1"/>
  <c r="AE14" i="1"/>
  <c r="AE15" i="1"/>
  <c r="AD17" i="1"/>
  <c r="AD16" i="1"/>
  <c r="V14" i="1"/>
  <c r="AD14" i="1"/>
  <c r="P15" i="1" l="1" a="1"/>
  <c r="P15" i="1" s="1"/>
  <c r="Q15" i="1" s="1"/>
  <c r="AA15" i="1" s="1"/>
  <c r="AD15" i="1"/>
  <c r="V15" i="1"/>
  <c r="S16" i="1"/>
  <c r="R16" i="1"/>
  <c r="S17" i="1"/>
  <c r="R17" i="1"/>
  <c r="S14" i="1"/>
  <c r="R14" i="1"/>
  <c r="T16" i="1"/>
  <c r="T17" i="1"/>
  <c r="T14" i="1"/>
  <c r="R15" i="1" l="1"/>
  <c r="R18" i="1" s="1"/>
  <c r="T15" i="1"/>
  <c r="S15" i="1"/>
  <c r="AO17" i="1"/>
  <c r="AN17" i="1"/>
  <c r="AP17" i="1"/>
  <c r="AO16" i="1"/>
  <c r="AP16" i="1"/>
  <c r="AN16" i="1"/>
  <c r="AN14" i="1"/>
  <c r="AP14" i="1"/>
  <c r="AO14" i="1"/>
  <c r="Z14" i="1"/>
  <c r="Y14" i="1"/>
  <c r="X14" i="1"/>
  <c r="X17" i="1"/>
  <c r="Z17" i="1"/>
  <c r="AR17" i="1" s="1"/>
  <c r="Y17" i="1"/>
  <c r="Z16" i="1"/>
  <c r="AR16" i="1" s="1"/>
  <c r="Y16" i="1"/>
  <c r="X16" i="1"/>
  <c r="Z15" i="1" l="1"/>
  <c r="AQ15" i="1" s="1"/>
  <c r="AP15" i="1"/>
  <c r="AP18" i="1" s="1"/>
  <c r="C22" i="1" s="1" a="1"/>
  <c r="C22" i="1" s="1"/>
  <c r="X15" i="1"/>
  <c r="X18" i="1" s="1"/>
  <c r="G22" i="1" s="1" a="1"/>
  <c r="G22" i="1" s="1"/>
  <c r="AN15" i="1"/>
  <c r="AN18" i="1" s="1"/>
  <c r="A22" i="1" s="1" a="1"/>
  <c r="A22" i="1" s="1"/>
  <c r="Y15" i="1"/>
  <c r="Y18" i="1" s="1"/>
  <c r="H22" i="1" s="1" a="1"/>
  <c r="H22" i="1" s="1"/>
  <c r="AO15" i="1"/>
  <c r="AO18" i="1" s="1"/>
  <c r="AQ16" i="1"/>
  <c r="AS16" i="1"/>
  <c r="AS17" i="1"/>
  <c r="AQ17" i="1"/>
  <c r="AB25" i="1" l="1" a="1"/>
  <c r="AB25" i="1" s="1"/>
  <c r="AB24" i="1" a="1"/>
  <c r="AB24" i="1" s="1"/>
  <c r="AB23" i="1" a="1"/>
  <c r="AB23" i="1" s="1"/>
  <c r="AB22" i="1" a="1"/>
  <c r="AB22" i="1" s="1"/>
  <c r="B22" i="1" a="1"/>
  <c r="B22" i="1" s="1"/>
  <c r="Z18" i="1"/>
  <c r="I22" i="1" s="1" a="1"/>
  <c r="I22" i="1" s="1"/>
  <c r="AR15" i="1"/>
  <c r="AS15" i="1"/>
  <c r="AQ14" i="1"/>
  <c r="AQ18" i="1" s="1"/>
  <c r="D22" i="1" s="1" a="1"/>
  <c r="D22" i="1" s="1"/>
  <c r="AR14" i="1"/>
  <c r="AS14" i="1"/>
  <c r="L25" i="1" l="1" a="1"/>
  <c r="L25" i="1" s="1"/>
  <c r="N25" i="1" s="1"/>
  <c r="L24" i="1" a="1"/>
  <c r="L24" i="1" s="1"/>
  <c r="N24" i="1" s="1"/>
  <c r="L23" i="1" a="1"/>
  <c r="L23" i="1" s="1"/>
  <c r="N23" i="1" s="1"/>
  <c r="L22" i="1" a="1"/>
  <c r="L22" i="1" s="1"/>
  <c r="N22" i="1" s="1"/>
  <c r="AC25" i="1" a="1"/>
  <c r="AC25" i="1" s="1"/>
  <c r="AC24" i="1" a="1"/>
  <c r="AC24" i="1" s="1"/>
  <c r="AC23" i="1" a="1"/>
  <c r="AC23" i="1" s="1"/>
  <c r="AC22" i="1" a="1"/>
  <c r="AC22" i="1" s="1"/>
  <c r="AS18" i="1"/>
  <c r="F22" i="1" s="1" a="1"/>
  <c r="F22" i="1" s="1"/>
  <c r="AR18" i="1"/>
  <c r="E22" i="1" s="1" a="1"/>
  <c r="E22" i="1" s="1"/>
  <c r="AD22" i="1" l="1"/>
  <c r="V22" i="1"/>
  <c r="M25" i="1" a="1"/>
  <c r="M25" i="1" s="1"/>
  <c r="O25" i="1" s="1"/>
  <c r="P25" i="1" s="1" a="1"/>
  <c r="P25" i="1" s="1"/>
  <c r="Q25" i="1" s="1"/>
  <c r="M24" i="1" a="1"/>
  <c r="M24" i="1" s="1"/>
  <c r="O24" i="1" s="1"/>
  <c r="P24" i="1" s="1" a="1"/>
  <c r="P24" i="1" s="1"/>
  <c r="Q24" i="1" s="1"/>
  <c r="M23" i="1" a="1"/>
  <c r="M23" i="1" s="1"/>
  <c r="O23" i="1" s="1"/>
  <c r="P23" i="1" s="1" a="1"/>
  <c r="P23" i="1" s="1"/>
  <c r="Q23" i="1" s="1"/>
  <c r="M22" i="1" a="1"/>
  <c r="M22" i="1" s="1"/>
  <c r="O22" i="1" s="1"/>
  <c r="AD23" i="1"/>
  <c r="V23" i="1"/>
  <c r="AD24" i="1"/>
  <c r="V24" i="1"/>
  <c r="V25" i="1"/>
  <c r="AD25" i="1"/>
  <c r="T24" i="1" l="1"/>
  <c r="AA24" i="1"/>
  <c r="S24" i="1"/>
  <c r="R24" i="1"/>
  <c r="R25" i="1"/>
  <c r="AA25" i="1"/>
  <c r="T25" i="1"/>
  <c r="S25" i="1"/>
  <c r="AA23" i="1"/>
  <c r="S23" i="1"/>
  <c r="T23" i="1"/>
  <c r="R23" i="1"/>
  <c r="AE22" i="1"/>
  <c r="W22" i="1"/>
  <c r="W23" i="1"/>
  <c r="AE23" i="1"/>
  <c r="W24" i="1"/>
  <c r="AE24" i="1"/>
  <c r="W25" i="1"/>
  <c r="AE25" i="1"/>
  <c r="P22" i="1" a="1"/>
  <c r="P22" i="1" s="1"/>
  <c r="Q22" i="1" s="1"/>
  <c r="AO23" i="1" l="1"/>
  <c r="AS23" i="1"/>
  <c r="AR23" i="1"/>
  <c r="Z23" i="1"/>
  <c r="AQ23" i="1"/>
  <c r="Y23" i="1"/>
  <c r="AN23" i="1"/>
  <c r="X23" i="1"/>
  <c r="AP23" i="1"/>
  <c r="AS25" i="1"/>
  <c r="AR25" i="1"/>
  <c r="Z25" i="1"/>
  <c r="AQ25" i="1"/>
  <c r="Y25" i="1"/>
  <c r="AP25" i="1"/>
  <c r="X25" i="1"/>
  <c r="AO25" i="1"/>
  <c r="AN25" i="1"/>
  <c r="S22" i="1"/>
  <c r="R22" i="1"/>
  <c r="R26" i="1" s="1"/>
  <c r="AA22" i="1"/>
  <c r="T22" i="1"/>
  <c r="AS24" i="1"/>
  <c r="AR24" i="1"/>
  <c r="Z24" i="1"/>
  <c r="AQ24" i="1"/>
  <c r="Y24" i="1"/>
  <c r="AP24" i="1"/>
  <c r="X24" i="1"/>
  <c r="AO24" i="1"/>
  <c r="AN24" i="1"/>
  <c r="AQ22" i="1" l="1"/>
  <c r="AQ26" i="1" s="1"/>
  <c r="D30" i="1" s="1" a="1"/>
  <c r="D30" i="1" s="1"/>
  <c r="Y22" i="1"/>
  <c r="Y26" i="1" s="1"/>
  <c r="H30" i="1" s="1" a="1"/>
  <c r="H30" i="1" s="1"/>
  <c r="AS22" i="1"/>
  <c r="AS26" i="1" s="1"/>
  <c r="F30" i="1" s="1" a="1"/>
  <c r="F30" i="1" s="1"/>
  <c r="X22" i="1"/>
  <c r="X26" i="1" s="1"/>
  <c r="G30" i="1" s="1" a="1"/>
  <c r="G30" i="1" s="1"/>
  <c r="AR22" i="1"/>
  <c r="AR26" i="1" s="1"/>
  <c r="E30" i="1" s="1" a="1"/>
  <c r="E30" i="1" s="1"/>
  <c r="AP22" i="1"/>
  <c r="AP26" i="1" s="1"/>
  <c r="C30" i="1" s="1" a="1"/>
  <c r="C30" i="1" s="1"/>
  <c r="AO22" i="1"/>
  <c r="AO26" i="1" s="1"/>
  <c r="B30" i="1" s="1" a="1"/>
  <c r="B30" i="1" s="1"/>
  <c r="AN22" i="1"/>
  <c r="AN26" i="1" s="1"/>
  <c r="A30" i="1" s="1" a="1"/>
  <c r="A30" i="1" s="1"/>
  <c r="Z22" i="1"/>
  <c r="Z26" i="1" s="1"/>
  <c r="I30" i="1" s="1" a="1"/>
  <c r="I30" i="1" s="1"/>
  <c r="AC33" i="1" l="1" a="1"/>
  <c r="AC33" i="1" s="1"/>
  <c r="AC32" i="1" a="1"/>
  <c r="AC32" i="1" s="1"/>
  <c r="AC30" i="1" a="1"/>
  <c r="AC30" i="1" s="1"/>
  <c r="AC31" i="1" a="1"/>
  <c r="AC31" i="1" s="1"/>
  <c r="L30" i="1" a="1"/>
  <c r="L30" i="1" s="1"/>
  <c r="N30" i="1" s="1"/>
  <c r="L33" i="1" a="1"/>
  <c r="L33" i="1" s="1"/>
  <c r="N33" i="1" s="1"/>
  <c r="L32" i="1" a="1"/>
  <c r="L32" i="1" s="1"/>
  <c r="N32" i="1" s="1"/>
  <c r="L31" i="1" a="1"/>
  <c r="L31" i="1" s="1"/>
  <c r="N31" i="1" s="1"/>
  <c r="M33" i="1" a="1"/>
  <c r="M33" i="1" s="1"/>
  <c r="O33" i="1" s="1"/>
  <c r="M30" i="1" a="1"/>
  <c r="M30" i="1" s="1"/>
  <c r="O30" i="1" s="1"/>
  <c r="M31" i="1" a="1"/>
  <c r="M31" i="1" s="1"/>
  <c r="O31" i="1" s="1"/>
  <c r="M32" i="1" a="1"/>
  <c r="M32" i="1" s="1"/>
  <c r="O32" i="1" s="1"/>
  <c r="AB33" i="1" a="1"/>
  <c r="AB33" i="1" s="1"/>
  <c r="AB32" i="1" a="1"/>
  <c r="AB32" i="1" s="1"/>
  <c r="AB31" i="1" a="1"/>
  <c r="AB31" i="1" s="1"/>
  <c r="AB30" i="1" a="1"/>
  <c r="AB30" i="1" s="1"/>
  <c r="P31" i="1" l="1" a="1"/>
  <c r="P31" i="1" s="1"/>
  <c r="Q31" i="1" s="1"/>
  <c r="S31" i="1" s="1"/>
  <c r="P33" i="1" a="1"/>
  <c r="P33" i="1" s="1"/>
  <c r="Q33" i="1" s="1"/>
  <c r="S33" i="1" s="1"/>
  <c r="P32" i="1" a="1"/>
  <c r="P32" i="1" s="1"/>
  <c r="Q32" i="1" s="1"/>
  <c r="T32" i="1" s="1"/>
  <c r="P30" i="1" a="1"/>
  <c r="P30" i="1" s="1"/>
  <c r="Q30" i="1" s="1"/>
  <c r="S30" i="1" s="1"/>
  <c r="AE32" i="1"/>
  <c r="W32" i="1"/>
  <c r="W31" i="1"/>
  <c r="AE31" i="1"/>
  <c r="W30" i="1"/>
  <c r="AE30" i="1"/>
  <c r="AE33" i="1"/>
  <c r="W33" i="1"/>
  <c r="V31" i="1"/>
  <c r="AD31" i="1"/>
  <c r="V32" i="1"/>
  <c r="AD32" i="1"/>
  <c r="AD33" i="1"/>
  <c r="V33" i="1"/>
  <c r="V30" i="1"/>
  <c r="AD30" i="1"/>
  <c r="AA31" i="1" l="1"/>
  <c r="T31" i="1"/>
  <c r="AO31" i="1" s="1"/>
  <c r="R31" i="1"/>
  <c r="T30" i="1"/>
  <c r="AN30" i="1" s="1"/>
  <c r="T33" i="1"/>
  <c r="AS33" i="1" s="1"/>
  <c r="AA33" i="1"/>
  <c r="R33" i="1"/>
  <c r="AA32" i="1"/>
  <c r="R32" i="1"/>
  <c r="S32" i="1"/>
  <c r="AO32" i="1" s="1"/>
  <c r="AA30" i="1"/>
  <c r="R30" i="1"/>
  <c r="AQ32" i="1"/>
  <c r="AP32" i="1"/>
  <c r="AS31" i="1" l="1"/>
  <c r="Y31" i="1"/>
  <c r="AN31" i="1"/>
  <c r="X31" i="1"/>
  <c r="AP31" i="1"/>
  <c r="Z31" i="1"/>
  <c r="AQ31" i="1"/>
  <c r="AR31" i="1"/>
  <c r="AO30" i="1"/>
  <c r="X30" i="1"/>
  <c r="AP30" i="1"/>
  <c r="AO33" i="1"/>
  <c r="X33" i="1"/>
  <c r="Y30" i="1"/>
  <c r="Z33" i="1"/>
  <c r="AQ30" i="1"/>
  <c r="AN33" i="1"/>
  <c r="Z30" i="1"/>
  <c r="AR30" i="1"/>
  <c r="AP33" i="1"/>
  <c r="AQ33" i="1"/>
  <c r="Y33" i="1"/>
  <c r="AR33" i="1"/>
  <c r="AS30" i="1"/>
  <c r="R34" i="1"/>
  <c r="AR32" i="1"/>
  <c r="X32" i="1"/>
  <c r="AN32" i="1"/>
  <c r="AS32" i="1"/>
  <c r="Y32" i="1"/>
  <c r="Z32" i="1"/>
  <c r="Y34" i="1" l="1"/>
  <c r="H38" i="1" s="1" a="1"/>
  <c r="H38" i="1" s="1"/>
  <c r="AB40" i="1" s="1" a="1"/>
  <c r="AB40" i="1" s="1"/>
  <c r="AR34" i="1"/>
  <c r="E38" i="1" s="1" a="1"/>
  <c r="E38" i="1" s="1"/>
  <c r="AS34" i="1"/>
  <c r="F38" i="1" s="1" a="1"/>
  <c r="F38" i="1" s="1"/>
  <c r="X34" i="1"/>
  <c r="G38" i="1" s="1" a="1"/>
  <c r="G38" i="1" s="1"/>
  <c r="Z34" i="1"/>
  <c r="I38" i="1" s="1" a="1"/>
  <c r="I38" i="1" s="1"/>
  <c r="AC40" i="1" s="1" a="1"/>
  <c r="AC40" i="1" s="1"/>
  <c r="AO34" i="1"/>
  <c r="B38" i="1" s="1" a="1"/>
  <c r="B38" i="1" s="1"/>
  <c r="AP34" i="1"/>
  <c r="C38" i="1" s="1" a="1"/>
  <c r="C38" i="1" s="1"/>
  <c r="AQ34" i="1"/>
  <c r="D38" i="1" s="1" a="1"/>
  <c r="D38" i="1" s="1"/>
  <c r="AN34" i="1"/>
  <c r="A38" i="1" s="1" a="1"/>
  <c r="A38" i="1" s="1"/>
  <c r="AB38" i="1" l="1" a="1"/>
  <c r="AB38" i="1" s="1"/>
  <c r="AB39" i="1" a="1"/>
  <c r="AB39" i="1" s="1"/>
  <c r="AB41" i="1" a="1"/>
  <c r="AB41" i="1" s="1"/>
  <c r="M39" i="1" a="1"/>
  <c r="M39" i="1" s="1"/>
  <c r="O39" i="1" s="1"/>
  <c r="W39" i="1" s="1"/>
  <c r="M40" i="1" a="1"/>
  <c r="M40" i="1" s="1"/>
  <c r="O40" i="1" s="1"/>
  <c r="W40" i="1" s="1"/>
  <c r="M38" i="1" a="1"/>
  <c r="M38" i="1" s="1"/>
  <c r="O38" i="1" s="1"/>
  <c r="W38" i="1" s="1"/>
  <c r="M41" i="1" a="1"/>
  <c r="M41" i="1" s="1"/>
  <c r="O41" i="1" s="1"/>
  <c r="W41" i="1" s="1"/>
  <c r="AC38" i="1" a="1"/>
  <c r="AC38" i="1" s="1"/>
  <c r="AC39" i="1" a="1"/>
  <c r="AC39" i="1" s="1"/>
  <c r="AC41" i="1" a="1"/>
  <c r="AC41" i="1" s="1"/>
  <c r="L41" i="1" a="1"/>
  <c r="L41" i="1" s="1"/>
  <c r="N41" i="1" s="1"/>
  <c r="V41" i="1" s="1"/>
  <c r="L38" i="1" a="1"/>
  <c r="L38" i="1" s="1"/>
  <c r="N38" i="1" s="1"/>
  <c r="AD38" i="1" s="1"/>
  <c r="L39" i="1" a="1"/>
  <c r="L39" i="1" s="1"/>
  <c r="N39" i="1" s="1"/>
  <c r="AD39" i="1" s="1"/>
  <c r="L40" i="1" a="1"/>
  <c r="L40" i="1" s="1"/>
  <c r="N40" i="1" s="1"/>
  <c r="AD40" i="1" s="1"/>
  <c r="AE39" i="1" l="1"/>
  <c r="AE40" i="1"/>
  <c r="AE41" i="1"/>
  <c r="AE38" i="1"/>
  <c r="P41" i="1" a="1"/>
  <c r="P41" i="1" s="1"/>
  <c r="Q41" i="1" s="1"/>
  <c r="T41" i="1" s="1"/>
  <c r="AD41" i="1"/>
  <c r="V38" i="1"/>
  <c r="P39" i="1" a="1"/>
  <c r="P39" i="1" s="1"/>
  <c r="Q39" i="1" s="1"/>
  <c r="AA39" i="1" s="1"/>
  <c r="V40" i="1"/>
  <c r="P38" i="1" a="1"/>
  <c r="P38" i="1" s="1"/>
  <c r="Q38" i="1" s="1"/>
  <c r="R38" i="1" s="1"/>
  <c r="V39" i="1"/>
  <c r="P40" i="1" a="1"/>
  <c r="P40" i="1" s="1"/>
  <c r="Q40" i="1" s="1"/>
  <c r="S40" i="1" s="1"/>
  <c r="R39" i="1" l="1"/>
  <c r="S39" i="1"/>
  <c r="T39" i="1"/>
  <c r="AA41" i="1"/>
  <c r="R41" i="1"/>
  <c r="S41" i="1"/>
  <c r="AP41" i="1" s="1"/>
  <c r="AA38" i="1"/>
  <c r="S38" i="1"/>
  <c r="T38" i="1"/>
  <c r="T40" i="1"/>
  <c r="Z40" i="1" s="1"/>
  <c r="R40" i="1"/>
  <c r="AA40" i="1"/>
  <c r="AO40" i="1"/>
  <c r="Y40" i="1"/>
  <c r="X40" i="1"/>
  <c r="AN40" i="1"/>
  <c r="Y39" i="1" l="1"/>
  <c r="AP39" i="1"/>
  <c r="Z39" i="1"/>
  <c r="AQ39" i="1"/>
  <c r="X39" i="1"/>
  <c r="AQ40" i="1"/>
  <c r="AO39" i="1"/>
  <c r="AS40" i="1"/>
  <c r="AS39" i="1"/>
  <c r="AN39" i="1"/>
  <c r="AR39" i="1"/>
  <c r="AP40" i="1"/>
  <c r="AR40" i="1"/>
  <c r="Z38" i="1"/>
  <c r="Z41" i="1"/>
  <c r="Y41" i="1"/>
  <c r="AS41" i="1"/>
  <c r="AO41" i="1"/>
  <c r="X41" i="1"/>
  <c r="R42" i="1"/>
  <c r="AQ41" i="1"/>
  <c r="AR41" i="1"/>
  <c r="AN41" i="1"/>
  <c r="Y38" i="1"/>
  <c r="AQ38" i="1"/>
  <c r="AR38" i="1"/>
  <c r="AS38" i="1"/>
  <c r="AN38" i="1"/>
  <c r="AO38" i="1"/>
  <c r="X38" i="1"/>
  <c r="AP38" i="1"/>
  <c r="AP42" i="1" l="1"/>
  <c r="C46" i="1" s="1" a="1"/>
  <c r="C46" i="1" s="1"/>
  <c r="AR42" i="1"/>
  <c r="E46" i="1" s="1" a="1"/>
  <c r="E46" i="1" s="1"/>
  <c r="AQ42" i="1"/>
  <c r="D46" i="1" s="1" a="1"/>
  <c r="D46" i="1" s="1"/>
  <c r="X42" i="1"/>
  <c r="G46" i="1" s="1" a="1"/>
  <c r="G46" i="1" s="1"/>
  <c r="AN42" i="1"/>
  <c r="A46" i="1" s="1" a="1"/>
  <c r="A46" i="1" s="1"/>
  <c r="Z42" i="1"/>
  <c r="I46" i="1" s="1" a="1"/>
  <c r="I46" i="1" s="1"/>
  <c r="AC46" i="1" s="1" a="1"/>
  <c r="AC46" i="1" s="1"/>
  <c r="AO42" i="1"/>
  <c r="B46" i="1" s="1" a="1"/>
  <c r="B46" i="1" s="1"/>
  <c r="AS42" i="1"/>
  <c r="F46" i="1" s="1" a="1"/>
  <c r="F46" i="1" s="1"/>
  <c r="Y42" i="1"/>
  <c r="H46" i="1" s="1" a="1"/>
  <c r="H46" i="1" s="1"/>
  <c r="L46" i="1" l="1" a="1"/>
  <c r="L46" i="1" s="1"/>
  <c r="N46" i="1" s="1"/>
  <c r="AD46" i="1" s="1"/>
  <c r="M46" i="1" a="1"/>
  <c r="M46" i="1" s="1"/>
  <c r="O46" i="1" s="1"/>
  <c r="AE46" i="1" s="1"/>
  <c r="AC47" i="1" a="1"/>
  <c r="AC47" i="1" s="1"/>
  <c r="AC49" i="1" a="1"/>
  <c r="AC49" i="1" s="1"/>
  <c r="AC48" i="1" a="1"/>
  <c r="AC48" i="1" s="1"/>
  <c r="L47" i="1" a="1"/>
  <c r="L47" i="1" s="1"/>
  <c r="N47" i="1" s="1"/>
  <c r="AD47" i="1" s="1"/>
  <c r="L49" i="1" a="1"/>
  <c r="L49" i="1" s="1"/>
  <c r="N49" i="1" s="1"/>
  <c r="AD49" i="1" s="1"/>
  <c r="L48" i="1" a="1"/>
  <c r="L48" i="1" s="1"/>
  <c r="N48" i="1" s="1"/>
  <c r="V48" i="1" s="1"/>
  <c r="M49" i="1" a="1"/>
  <c r="M49" i="1" s="1"/>
  <c r="O49" i="1" s="1"/>
  <c r="W49" i="1" s="1"/>
  <c r="M48" i="1" a="1"/>
  <c r="M48" i="1" s="1"/>
  <c r="O48" i="1" s="1"/>
  <c r="AE48" i="1" s="1"/>
  <c r="M47" i="1" a="1"/>
  <c r="M47" i="1" s="1"/>
  <c r="O47" i="1" s="1"/>
  <c r="W47" i="1" s="1"/>
  <c r="AB49" i="1" a="1"/>
  <c r="AB49" i="1" s="1"/>
  <c r="AB46" i="1" a="1"/>
  <c r="AB46" i="1" s="1"/>
  <c r="AB47" i="1" a="1"/>
  <c r="AB47" i="1" s="1"/>
  <c r="AB48" i="1" a="1"/>
  <c r="AB48" i="1" s="1"/>
  <c r="V46" i="1" l="1"/>
  <c r="P46" i="1" a="1"/>
  <c r="P46" i="1" s="1"/>
  <c r="Q46" i="1" s="1"/>
  <c r="AA46" i="1" s="1"/>
  <c r="W46" i="1"/>
  <c r="AE49" i="1"/>
  <c r="AE47" i="1"/>
  <c r="W48" i="1"/>
  <c r="P49" i="1" a="1"/>
  <c r="P49" i="1" s="1"/>
  <c r="Q49" i="1" s="1"/>
  <c r="T49" i="1" s="1"/>
  <c r="V49" i="1"/>
  <c r="P47" i="1" a="1"/>
  <c r="P47" i="1" s="1"/>
  <c r="Q47" i="1" s="1"/>
  <c r="R47" i="1" s="1"/>
  <c r="V47" i="1"/>
  <c r="P48" i="1" a="1"/>
  <c r="P48" i="1" s="1"/>
  <c r="Q48" i="1" s="1"/>
  <c r="R48" i="1" s="1"/>
  <c r="AD48" i="1"/>
  <c r="S46" i="1" l="1"/>
  <c r="R46" i="1"/>
  <c r="T46" i="1"/>
  <c r="T47" i="1"/>
  <c r="R49" i="1"/>
  <c r="S49" i="1"/>
  <c r="AR49" i="1" s="1"/>
  <c r="AA49" i="1"/>
  <c r="AA48" i="1"/>
  <c r="S48" i="1"/>
  <c r="T48" i="1"/>
  <c r="S47" i="1"/>
  <c r="AA47" i="1"/>
  <c r="Y46" i="1" l="1"/>
  <c r="R50" i="1"/>
  <c r="AO46" i="1"/>
  <c r="Z46" i="1"/>
  <c r="AS46" i="1"/>
  <c r="X46" i="1"/>
  <c r="AQ46" i="1"/>
  <c r="AR46" i="1"/>
  <c r="AN46" i="1"/>
  <c r="AP46" i="1"/>
  <c r="AO48" i="1"/>
  <c r="AQ47" i="1"/>
  <c r="Z47" i="1"/>
  <c r="AR47" i="1"/>
  <c r="AN47" i="1"/>
  <c r="AO47" i="1"/>
  <c r="AS49" i="1"/>
  <c r="AS47" i="1"/>
  <c r="X47" i="1"/>
  <c r="AP47" i="1"/>
  <c r="AQ48" i="1"/>
  <c r="AQ49" i="1"/>
  <c r="Y47" i="1"/>
  <c r="AP48" i="1"/>
  <c r="Y48" i="1"/>
  <c r="AS48" i="1"/>
  <c r="AO49" i="1"/>
  <c r="AR48" i="1"/>
  <c r="AP49" i="1"/>
  <c r="Z48" i="1"/>
  <c r="Z49" i="1"/>
  <c r="X48" i="1"/>
  <c r="AN49" i="1"/>
  <c r="AN48" i="1"/>
  <c r="X49" i="1"/>
  <c r="Y49" i="1"/>
  <c r="AS50" i="1" l="1"/>
  <c r="F54" i="1" s="1" a="1"/>
  <c r="F54" i="1" s="1"/>
  <c r="Y50" i="1"/>
  <c r="H54" i="1" s="1" a="1"/>
  <c r="H54" i="1" s="1"/>
  <c r="AB57" i="1" s="1" a="1"/>
  <c r="AB57" i="1" s="1"/>
  <c r="AO50" i="1"/>
  <c r="B54" i="1" s="1" a="1"/>
  <c r="B54" i="1" s="1"/>
  <c r="AN50" i="1"/>
  <c r="A54" i="1" s="1" a="1"/>
  <c r="A54" i="1" s="1"/>
  <c r="AR50" i="1"/>
  <c r="E54" i="1" s="1" a="1"/>
  <c r="E54" i="1" s="1"/>
  <c r="X50" i="1"/>
  <c r="G54" i="1" s="1" a="1"/>
  <c r="G54" i="1" s="1"/>
  <c r="AQ50" i="1"/>
  <c r="D54" i="1" s="1" a="1"/>
  <c r="D54" i="1" s="1"/>
  <c r="AP50" i="1"/>
  <c r="C54" i="1" s="1" a="1"/>
  <c r="C54" i="1" s="1"/>
  <c r="Z50" i="1"/>
  <c r="I54" i="1" s="1" a="1"/>
  <c r="I54" i="1" s="1"/>
  <c r="AC57" i="1" s="1" a="1"/>
  <c r="AC57" i="1" s="1"/>
  <c r="AB56" i="1" l="1" a="1"/>
  <c r="AB56" i="1" s="1"/>
  <c r="AB54" i="1" a="1"/>
  <c r="AB54" i="1" s="1"/>
  <c r="AB55" i="1" a="1"/>
  <c r="AB55" i="1" s="1"/>
  <c r="L54" i="1" a="1"/>
  <c r="L54" i="1" s="1"/>
  <c r="N54" i="1" s="1"/>
  <c r="M57" i="1" a="1"/>
  <c r="M57" i="1" s="1"/>
  <c r="O57" i="1" s="1"/>
  <c r="AE57" i="1" s="1"/>
  <c r="L56" i="1" a="1"/>
  <c r="L56" i="1" s="1"/>
  <c r="N56" i="1" s="1"/>
  <c r="L55" i="1" a="1"/>
  <c r="L55" i="1" s="1"/>
  <c r="N55" i="1" s="1"/>
  <c r="V55" i="1" s="1"/>
  <c r="L57" i="1" a="1"/>
  <c r="L57" i="1" s="1"/>
  <c r="N57" i="1" s="1"/>
  <c r="AD57" i="1" s="1"/>
  <c r="M56" i="1" a="1"/>
  <c r="M56" i="1" s="1"/>
  <c r="O56" i="1" s="1"/>
  <c r="W56" i="1" s="1"/>
  <c r="M54" i="1" a="1"/>
  <c r="M54" i="1" s="1"/>
  <c r="O54" i="1" s="1"/>
  <c r="W54" i="1" s="1"/>
  <c r="M55" i="1" a="1"/>
  <c r="M55" i="1" s="1"/>
  <c r="O55" i="1" s="1"/>
  <c r="AE55" i="1" s="1"/>
  <c r="AC56" i="1" a="1"/>
  <c r="AC56" i="1" s="1"/>
  <c r="AC54" i="1" a="1"/>
  <c r="AC54" i="1" s="1"/>
  <c r="AC55" i="1" a="1"/>
  <c r="AC55" i="1" s="1"/>
  <c r="P54" i="1" l="1" a="1"/>
  <c r="P54" i="1" s="1"/>
  <c r="Q54" i="1" s="1"/>
  <c r="T54" i="1" s="1"/>
  <c r="P56" i="1" a="1"/>
  <c r="P56" i="1" s="1"/>
  <c r="Q56" i="1" s="1"/>
  <c r="T56" i="1" s="1"/>
  <c r="W57" i="1"/>
  <c r="AD54" i="1"/>
  <c r="V54" i="1"/>
  <c r="AE54" i="1"/>
  <c r="AD56" i="1"/>
  <c r="AD55" i="1"/>
  <c r="P57" i="1" a="1"/>
  <c r="P57" i="1" s="1"/>
  <c r="Q57" i="1" s="1"/>
  <c r="S57" i="1" s="1"/>
  <c r="V56" i="1"/>
  <c r="AE56" i="1"/>
  <c r="V57" i="1"/>
  <c r="W55" i="1"/>
  <c r="P55" i="1" a="1"/>
  <c r="P55" i="1" s="1"/>
  <c r="Q55" i="1" s="1"/>
  <c r="T55" i="1" s="1"/>
  <c r="S54" i="1" l="1"/>
  <c r="X54" i="1" s="1"/>
  <c r="AA54" i="1"/>
  <c r="R54" i="1"/>
  <c r="AA56" i="1"/>
  <c r="S56" i="1"/>
  <c r="AP56" i="1" s="1"/>
  <c r="R56" i="1"/>
  <c r="R57" i="1"/>
  <c r="AA57" i="1"/>
  <c r="T57" i="1"/>
  <c r="Y57" i="1" s="1"/>
  <c r="AA55" i="1"/>
  <c r="R55" i="1"/>
  <c r="S55" i="1"/>
  <c r="AQ55" i="1" s="1"/>
  <c r="AO54" i="1" l="1"/>
  <c r="AR54" i="1"/>
  <c r="Z54" i="1"/>
  <c r="AS54" i="1"/>
  <c r="AQ54" i="1"/>
  <c r="Y54" i="1"/>
  <c r="AN54" i="1"/>
  <c r="AP54" i="1"/>
  <c r="AS56" i="1"/>
  <c r="AO56" i="1"/>
  <c r="AN56" i="1"/>
  <c r="Y56" i="1"/>
  <c r="AR56" i="1"/>
  <c r="AS55" i="1"/>
  <c r="X56" i="1"/>
  <c r="Z56" i="1"/>
  <c r="AQ56" i="1"/>
  <c r="AO57" i="1"/>
  <c r="AS57" i="1"/>
  <c r="AN57" i="1"/>
  <c r="Z57" i="1"/>
  <c r="AR57" i="1"/>
  <c r="AQ57" i="1"/>
  <c r="AP57" i="1"/>
  <c r="X57" i="1"/>
  <c r="R58" i="1"/>
  <c r="Z55" i="1"/>
  <c r="AN55" i="1"/>
  <c r="AR55" i="1"/>
  <c r="AO55" i="1"/>
  <c r="X55" i="1"/>
  <c r="AP55" i="1"/>
  <c r="Y55" i="1"/>
  <c r="AQ58" i="1" l="1"/>
  <c r="D62" i="1" s="1" a="1"/>
  <c r="D62" i="1" s="1"/>
  <c r="Y58" i="1"/>
  <c r="H62" i="1" s="1" a="1"/>
  <c r="H62" i="1" s="1"/>
  <c r="AB63" i="1" s="1" a="1"/>
  <c r="AB63" i="1" s="1"/>
  <c r="AS58" i="1"/>
  <c r="F62" i="1" s="1" a="1"/>
  <c r="F62" i="1" s="1"/>
  <c r="AO58" i="1"/>
  <c r="B62" i="1" s="1" a="1"/>
  <c r="B62" i="1" s="1"/>
  <c r="AR58" i="1"/>
  <c r="E62" i="1" s="1" a="1"/>
  <c r="E62" i="1" s="1"/>
  <c r="AN58" i="1"/>
  <c r="A62" i="1" s="1" a="1"/>
  <c r="A62" i="1" s="1"/>
  <c r="Z58" i="1"/>
  <c r="I62" i="1" s="1" a="1"/>
  <c r="I62" i="1" s="1"/>
  <c r="AC62" i="1" s="1" a="1"/>
  <c r="AC62" i="1" s="1"/>
  <c r="AP58" i="1"/>
  <c r="C62" i="1" s="1" a="1"/>
  <c r="C62" i="1" s="1"/>
  <c r="X58" i="1"/>
  <c r="G62" i="1" s="1" a="1"/>
  <c r="G62" i="1" s="1"/>
  <c r="M63" i="1" l="1" a="1"/>
  <c r="M63" i="1" s="1"/>
  <c r="O63" i="1" s="1"/>
  <c r="W63" i="1" s="1"/>
  <c r="AB62" i="1" a="1"/>
  <c r="AB62" i="1" s="1"/>
  <c r="AB65" i="1" a="1"/>
  <c r="AB65" i="1" s="1"/>
  <c r="AB64" i="1" a="1"/>
  <c r="AB64" i="1" s="1"/>
  <c r="AC63" i="1" a="1"/>
  <c r="AC63" i="1" s="1"/>
  <c r="AC65" i="1" a="1"/>
  <c r="AC65" i="1" s="1"/>
  <c r="AC64" i="1" a="1"/>
  <c r="AC64" i="1" s="1"/>
  <c r="M62" i="1" a="1"/>
  <c r="M62" i="1" s="1"/>
  <c r="O62" i="1" s="1"/>
  <c r="AE62" i="1" s="1"/>
  <c r="M65" i="1" a="1"/>
  <c r="M65" i="1" s="1"/>
  <c r="O65" i="1" s="1"/>
  <c r="W65" i="1" s="1"/>
  <c r="M64" i="1" a="1"/>
  <c r="M64" i="1" s="1"/>
  <c r="O64" i="1" s="1"/>
  <c r="W64" i="1" s="1"/>
  <c r="L62" i="1" a="1"/>
  <c r="L62" i="1" s="1"/>
  <c r="N62" i="1" s="1"/>
  <c r="V62" i="1" s="1"/>
  <c r="L64" i="1" a="1"/>
  <c r="L64" i="1" s="1"/>
  <c r="N64" i="1" s="1"/>
  <c r="AD64" i="1" s="1"/>
  <c r="L65" i="1" a="1"/>
  <c r="L65" i="1" s="1"/>
  <c r="N65" i="1" s="1"/>
  <c r="V65" i="1" s="1"/>
  <c r="L63" i="1" a="1"/>
  <c r="L63" i="1" s="1"/>
  <c r="N63" i="1" s="1"/>
  <c r="AD63" i="1" s="1"/>
  <c r="AE63" i="1" l="1"/>
  <c r="AD62" i="1"/>
  <c r="AE64" i="1"/>
  <c r="W62" i="1"/>
  <c r="P62" i="1" a="1"/>
  <c r="P62" i="1" s="1"/>
  <c r="Q62" i="1" s="1"/>
  <c r="R62" i="1" s="1"/>
  <c r="AE65" i="1"/>
  <c r="P63" i="1" a="1"/>
  <c r="P63" i="1" s="1"/>
  <c r="Q63" i="1" s="1"/>
  <c r="AA63" i="1" s="1"/>
  <c r="P65" i="1" a="1"/>
  <c r="P65" i="1" s="1"/>
  <c r="Q65" i="1" s="1"/>
  <c r="R65" i="1" s="1"/>
  <c r="V64" i="1"/>
  <c r="P64" i="1" a="1"/>
  <c r="P64" i="1" s="1"/>
  <c r="Q64" i="1" s="1"/>
  <c r="T64" i="1" s="1"/>
  <c r="AD65" i="1"/>
  <c r="V63" i="1"/>
  <c r="R63" i="1" l="1"/>
  <c r="S64" i="1"/>
  <c r="AP64" i="1" s="1"/>
  <c r="S62" i="1"/>
  <c r="AA62" i="1"/>
  <c r="T62" i="1"/>
  <c r="S63" i="1"/>
  <c r="T63" i="1"/>
  <c r="AA64" i="1"/>
  <c r="R64" i="1"/>
  <c r="S65" i="1"/>
  <c r="T65" i="1"/>
  <c r="AA65" i="1"/>
  <c r="R66" i="1" l="1"/>
  <c r="AN63" i="1"/>
  <c r="AQ64" i="1"/>
  <c r="AN64" i="1"/>
  <c r="Y64" i="1"/>
  <c r="Z64" i="1"/>
  <c r="X64" i="1"/>
  <c r="AR64" i="1"/>
  <c r="AO64" i="1"/>
  <c r="AS63" i="1"/>
  <c r="AS64" i="1"/>
  <c r="AS62" i="1"/>
  <c r="AO63" i="1"/>
  <c r="AN62" i="1"/>
  <c r="X62" i="1"/>
  <c r="Z62" i="1"/>
  <c r="AO62" i="1"/>
  <c r="AQ62" i="1"/>
  <c r="AP62" i="1"/>
  <c r="Y62" i="1"/>
  <c r="AR62" i="1"/>
  <c r="AR63" i="1"/>
  <c r="AN65" i="1"/>
  <c r="X65" i="1"/>
  <c r="Z63" i="1"/>
  <c r="X63" i="1"/>
  <c r="AP63" i="1"/>
  <c r="Y63" i="1"/>
  <c r="AQ63" i="1"/>
  <c r="Z65" i="1"/>
  <c r="AQ65" i="1"/>
  <c r="AO65" i="1"/>
  <c r="Y65" i="1"/>
  <c r="AP65" i="1"/>
  <c r="AR65" i="1"/>
  <c r="AS65" i="1"/>
  <c r="Y66" i="1" l="1"/>
  <c r="H70" i="1" s="1" a="1"/>
  <c r="H70" i="1" s="1"/>
  <c r="AB73" i="1" s="1" a="1"/>
  <c r="AB73" i="1" s="1"/>
  <c r="AS66" i="1"/>
  <c r="F70" i="1" s="1" a="1"/>
  <c r="F70" i="1" s="1"/>
  <c r="AP66" i="1"/>
  <c r="C70" i="1" s="1" a="1"/>
  <c r="C70" i="1" s="1"/>
  <c r="AR66" i="1"/>
  <c r="E70" i="1" s="1" a="1"/>
  <c r="E70" i="1" s="1"/>
  <c r="AN66" i="1"/>
  <c r="A70" i="1" s="1" a="1"/>
  <c r="A70" i="1" s="1"/>
  <c r="X66" i="1"/>
  <c r="G70" i="1" s="1" a="1"/>
  <c r="G70" i="1" s="1"/>
  <c r="AO66" i="1"/>
  <c r="B70" i="1" s="1" a="1"/>
  <c r="B70" i="1" s="1"/>
  <c r="AQ66" i="1"/>
  <c r="D70" i="1" s="1" a="1"/>
  <c r="D70" i="1" s="1"/>
  <c r="Z66" i="1"/>
  <c r="I70" i="1" s="1" a="1"/>
  <c r="I70" i="1" s="1"/>
  <c r="AC73" i="1" s="1" a="1"/>
  <c r="AC73" i="1" s="1"/>
  <c r="AC72" i="1" l="1" a="1"/>
  <c r="AC72" i="1" s="1"/>
  <c r="M71" i="1" a="1"/>
  <c r="M71" i="1" s="1"/>
  <c r="O71" i="1" s="1"/>
  <c r="AE71" i="1" s="1"/>
  <c r="AB70" i="1" a="1"/>
  <c r="AB70" i="1" s="1"/>
  <c r="AB72" i="1" a="1"/>
  <c r="AB72" i="1" s="1"/>
  <c r="AB71" i="1" a="1"/>
  <c r="AB71" i="1" s="1"/>
  <c r="M70" i="1" a="1"/>
  <c r="M70" i="1" s="1"/>
  <c r="O70" i="1" s="1"/>
  <c r="M72" i="1" a="1"/>
  <c r="M72" i="1" s="1"/>
  <c r="O72" i="1" s="1"/>
  <c r="AE72" i="1" s="1"/>
  <c r="M73" i="1" a="1"/>
  <c r="M73" i="1" s="1"/>
  <c r="O73" i="1" s="1"/>
  <c r="AE73" i="1" s="1"/>
  <c r="L70" i="1" a="1"/>
  <c r="L70" i="1" s="1"/>
  <c r="N70" i="1" s="1"/>
  <c r="P70" i="1" s="1" a="1"/>
  <c r="P70" i="1" s="1"/>
  <c r="Q70" i="1" s="1"/>
  <c r="L71" i="1" a="1"/>
  <c r="L71" i="1" s="1"/>
  <c r="N71" i="1" s="1"/>
  <c r="L72" i="1" a="1"/>
  <c r="L72" i="1" s="1"/>
  <c r="N72" i="1" s="1"/>
  <c r="V72" i="1" s="1"/>
  <c r="L73" i="1" a="1"/>
  <c r="L73" i="1" s="1"/>
  <c r="N73" i="1" s="1"/>
  <c r="AC70" i="1" a="1"/>
  <c r="AC70" i="1" s="1"/>
  <c r="AC71" i="1" a="1"/>
  <c r="AC71" i="1" s="1"/>
  <c r="AE70" i="1"/>
  <c r="W70" i="1"/>
  <c r="P71" i="1" l="1" a="1"/>
  <c r="P71" i="1" s="1"/>
  <c r="Q71" i="1" s="1"/>
  <c r="T71" i="1" s="1"/>
  <c r="W71" i="1"/>
  <c r="W73" i="1"/>
  <c r="W72" i="1"/>
  <c r="AD70" i="1"/>
  <c r="V70" i="1"/>
  <c r="P73" i="1" a="1"/>
  <c r="P73" i="1" s="1"/>
  <c r="Q73" i="1" s="1"/>
  <c r="S73" i="1" s="1"/>
  <c r="P72" i="1" a="1"/>
  <c r="P72" i="1" s="1"/>
  <c r="Q72" i="1" s="1"/>
  <c r="R72" i="1" s="1"/>
  <c r="AD73" i="1"/>
  <c r="V73" i="1"/>
  <c r="AD72" i="1"/>
  <c r="AD71" i="1"/>
  <c r="V71" i="1"/>
  <c r="AA70" i="1"/>
  <c r="S70" i="1"/>
  <c r="T70" i="1"/>
  <c r="R70" i="1"/>
  <c r="AA71" i="1" l="1"/>
  <c r="R71" i="1"/>
  <c r="S71" i="1"/>
  <c r="AP71" i="1" s="1"/>
  <c r="S72" i="1"/>
  <c r="T72" i="1"/>
  <c r="AA72" i="1"/>
  <c r="AA73" i="1"/>
  <c r="R73" i="1"/>
  <c r="T73" i="1"/>
  <c r="AR73" i="1" s="1"/>
  <c r="AP70" i="1"/>
  <c r="X70" i="1"/>
  <c r="AO70" i="1"/>
  <c r="AS70" i="1"/>
  <c r="AR70" i="1"/>
  <c r="Z70" i="1"/>
  <c r="Y70" i="1"/>
  <c r="AN70" i="1"/>
  <c r="AQ70" i="1"/>
  <c r="AO73" i="1" l="1"/>
  <c r="Y72" i="1"/>
  <c r="Z71" i="1"/>
  <c r="AS71" i="1"/>
  <c r="AO71" i="1"/>
  <c r="R74" i="1"/>
  <c r="AN71" i="1"/>
  <c r="Y71" i="1"/>
  <c r="AQ71" i="1"/>
  <c r="AR71" i="1"/>
  <c r="X71" i="1"/>
  <c r="AO72" i="1"/>
  <c r="AQ72" i="1"/>
  <c r="X72" i="1"/>
  <c r="AP72" i="1"/>
  <c r="Z72" i="1"/>
  <c r="AR72" i="1"/>
  <c r="AS72" i="1"/>
  <c r="AN72" i="1"/>
  <c r="X73" i="1"/>
  <c r="AP73" i="1"/>
  <c r="AQ73" i="1"/>
  <c r="AS73" i="1"/>
  <c r="AN73" i="1"/>
  <c r="Z73" i="1"/>
  <c r="Y73" i="1"/>
  <c r="AR74" i="1" l="1"/>
  <c r="E78" i="1" s="1" a="1"/>
  <c r="E78" i="1" s="1"/>
  <c r="Y74" i="1"/>
  <c r="H78" i="1" s="1" a="1"/>
  <c r="H78" i="1" s="1"/>
  <c r="AB81" i="1" s="1" a="1"/>
  <c r="AB81" i="1" s="1"/>
  <c r="AN74" i="1"/>
  <c r="A78" i="1" s="1" a="1"/>
  <c r="A78" i="1" s="1"/>
  <c r="AO74" i="1"/>
  <c r="B78" i="1" s="1" a="1"/>
  <c r="B78" i="1" s="1"/>
  <c r="AQ74" i="1"/>
  <c r="D78" i="1" s="1" a="1"/>
  <c r="D78" i="1" s="1"/>
  <c r="AS74" i="1"/>
  <c r="F78" i="1" s="1" a="1"/>
  <c r="F78" i="1" s="1"/>
  <c r="Z74" i="1"/>
  <c r="I78" i="1" s="1" a="1"/>
  <c r="I78" i="1" s="1"/>
  <c r="AC80" i="1" s="1" a="1"/>
  <c r="AC80" i="1" s="1"/>
  <c r="AP74" i="1"/>
  <c r="C78" i="1" s="1" a="1"/>
  <c r="C78" i="1" s="1"/>
  <c r="X74" i="1"/>
  <c r="G78" i="1" s="1" a="1"/>
  <c r="G78" i="1" s="1"/>
  <c r="AB78" i="1" l="1" a="1"/>
  <c r="AB78" i="1" s="1"/>
  <c r="AB80" i="1" a="1"/>
  <c r="AB80" i="1" s="1"/>
  <c r="AB79" i="1" a="1"/>
  <c r="AB79" i="1" s="1"/>
  <c r="M80" i="1" a="1"/>
  <c r="M80" i="1" s="1"/>
  <c r="O80" i="1" s="1"/>
  <c r="AE80" i="1" s="1"/>
  <c r="L78" i="1" a="1"/>
  <c r="L78" i="1" s="1"/>
  <c r="N78" i="1" s="1"/>
  <c r="V78" i="1" s="1"/>
  <c r="M81" i="1" a="1"/>
  <c r="M81" i="1" s="1"/>
  <c r="O81" i="1" s="1"/>
  <c r="AE81" i="1" s="1"/>
  <c r="M79" i="1" a="1"/>
  <c r="M79" i="1" s="1"/>
  <c r="O79" i="1" s="1"/>
  <c r="W79" i="1" s="1"/>
  <c r="AC78" i="1" a="1"/>
  <c r="AC78" i="1" s="1"/>
  <c r="AC79" i="1" a="1"/>
  <c r="AC79" i="1" s="1"/>
  <c r="M78" i="1" a="1"/>
  <c r="M78" i="1" s="1"/>
  <c r="O78" i="1" s="1"/>
  <c r="W78" i="1" s="1"/>
  <c r="AC81" i="1" a="1"/>
  <c r="AC81" i="1" s="1"/>
  <c r="L80" i="1" a="1"/>
  <c r="L80" i="1" s="1"/>
  <c r="N80" i="1" s="1"/>
  <c r="V80" i="1" s="1"/>
  <c r="L79" i="1" a="1"/>
  <c r="L79" i="1" s="1"/>
  <c r="N79" i="1" s="1"/>
  <c r="L81" i="1" a="1"/>
  <c r="L81" i="1" s="1"/>
  <c r="N81" i="1" s="1"/>
  <c r="V81" i="1" s="1"/>
  <c r="AE78" i="1"/>
  <c r="AD78" i="1" l="1"/>
  <c r="W80" i="1"/>
  <c r="P78" i="1" a="1"/>
  <c r="P78" i="1" s="1"/>
  <c r="Q78" i="1" s="1"/>
  <c r="R78" i="1" s="1"/>
  <c r="P79" i="1" a="1"/>
  <c r="P79" i="1" s="1"/>
  <c r="Q79" i="1" s="1"/>
  <c r="AA79" i="1" s="1"/>
  <c r="W81" i="1"/>
  <c r="AE79" i="1"/>
  <c r="V79" i="1"/>
  <c r="AD79" i="1"/>
  <c r="AD80" i="1"/>
  <c r="AD81" i="1"/>
  <c r="P80" i="1" a="1"/>
  <c r="P80" i="1" s="1"/>
  <c r="Q80" i="1" s="1"/>
  <c r="R80" i="1" s="1"/>
  <c r="P81" i="1" a="1"/>
  <c r="P81" i="1" s="1"/>
  <c r="Q81" i="1" s="1"/>
  <c r="R81" i="1" s="1"/>
  <c r="S78" i="1" l="1"/>
  <c r="T78" i="1"/>
  <c r="AA78" i="1"/>
  <c r="AA81" i="1"/>
  <c r="S81" i="1"/>
  <c r="T81" i="1"/>
  <c r="AA80" i="1"/>
  <c r="T80" i="1"/>
  <c r="R79" i="1"/>
  <c r="R82" i="1" s="1"/>
  <c r="S79" i="1"/>
  <c r="T79" i="1"/>
  <c r="S80" i="1"/>
  <c r="X80" i="1" s="1"/>
  <c r="AN80" i="1"/>
  <c r="AQ80" i="1" l="1"/>
  <c r="AS80" i="1"/>
  <c r="AR81" i="1"/>
  <c r="AO80" i="1"/>
  <c r="Z78" i="1"/>
  <c r="AR78" i="1"/>
  <c r="AQ78" i="1"/>
  <c r="AS78" i="1"/>
  <c r="X81" i="1"/>
  <c r="AP80" i="1"/>
  <c r="Z80" i="1"/>
  <c r="Y80" i="1"/>
  <c r="Y78" i="1"/>
  <c r="AQ81" i="1"/>
  <c r="AO81" i="1"/>
  <c r="AS81" i="1"/>
  <c r="AP81" i="1"/>
  <c r="Y81" i="1"/>
  <c r="Z81" i="1"/>
  <c r="AN81" i="1"/>
  <c r="AN78" i="1"/>
  <c r="AO78" i="1"/>
  <c r="X78" i="1"/>
  <c r="AP78" i="1"/>
  <c r="AQ79" i="1"/>
  <c r="AS79" i="1"/>
  <c r="Z79" i="1"/>
  <c r="AN79" i="1"/>
  <c r="AR79" i="1"/>
  <c r="AO79" i="1"/>
  <c r="X79" i="1"/>
  <c r="AP79" i="1"/>
  <c r="Y79" i="1"/>
  <c r="AR80" i="1"/>
  <c r="Y82" i="1" l="1"/>
  <c r="H86" i="1" s="1" a="1"/>
  <c r="H86" i="1" s="1"/>
  <c r="AB89" i="1" s="1" a="1"/>
  <c r="AB89" i="1" s="1"/>
  <c r="AO82" i="1"/>
  <c r="B86" i="1" s="1" a="1"/>
  <c r="B86" i="1" s="1"/>
  <c r="AP82" i="1"/>
  <c r="C86" i="1" s="1" a="1"/>
  <c r="C86" i="1" s="1"/>
  <c r="X82" i="1"/>
  <c r="G86" i="1" s="1" a="1"/>
  <c r="G86" i="1" s="1"/>
  <c r="AN82" i="1"/>
  <c r="A86" i="1" s="1" a="1"/>
  <c r="A86" i="1" s="1"/>
  <c r="Z82" i="1"/>
  <c r="I86" i="1" s="1" a="1"/>
  <c r="I86" i="1" s="1"/>
  <c r="AC88" i="1" s="1" a="1"/>
  <c r="AC88" i="1" s="1"/>
  <c r="AS82" i="1"/>
  <c r="F86" i="1" s="1" a="1"/>
  <c r="F86" i="1" s="1"/>
  <c r="AQ82" i="1"/>
  <c r="D86" i="1" s="1" a="1"/>
  <c r="D86" i="1" s="1"/>
  <c r="AR82" i="1"/>
  <c r="E86" i="1" s="1" a="1"/>
  <c r="E86" i="1" s="1"/>
  <c r="AB86" i="1" l="1" a="1"/>
  <c r="AB86" i="1" s="1"/>
  <c r="AB88" i="1" a="1"/>
  <c r="AB88" i="1" s="1"/>
  <c r="AB87" i="1" a="1"/>
  <c r="AB87" i="1" s="1"/>
  <c r="AC87" i="1" a="1"/>
  <c r="AC87" i="1" s="1"/>
  <c r="AC89" i="1" a="1"/>
  <c r="AC89" i="1" s="1"/>
  <c r="AC86" i="1" a="1"/>
  <c r="AC86" i="1" s="1"/>
  <c r="L89" i="1" a="1"/>
  <c r="L89" i="1" s="1"/>
  <c r="N89" i="1" s="1"/>
  <c r="AD89" i="1" s="1"/>
  <c r="L87" i="1" a="1"/>
  <c r="L87" i="1" s="1"/>
  <c r="N87" i="1" s="1"/>
  <c r="V87" i="1" s="1"/>
  <c r="L86" i="1" a="1"/>
  <c r="L86" i="1" s="1"/>
  <c r="N86" i="1" s="1"/>
  <c r="V86" i="1" s="1"/>
  <c r="L88" i="1" a="1"/>
  <c r="L88" i="1" s="1"/>
  <c r="N88" i="1" s="1"/>
  <c r="V88" i="1" s="1"/>
  <c r="M87" i="1" a="1"/>
  <c r="M87" i="1" s="1"/>
  <c r="O87" i="1" s="1"/>
  <c r="AE87" i="1" s="1"/>
  <c r="M88" i="1" a="1"/>
  <c r="M88" i="1" s="1"/>
  <c r="O88" i="1" s="1"/>
  <c r="M89" i="1" a="1"/>
  <c r="M89" i="1" s="1"/>
  <c r="O89" i="1" s="1"/>
  <c r="M86" i="1" a="1"/>
  <c r="M86" i="1" s="1"/>
  <c r="O86" i="1" s="1"/>
  <c r="AD88" i="1" l="1"/>
  <c r="P88" i="1" a="1"/>
  <c r="P88" i="1" s="1"/>
  <c r="Q88" i="1" s="1"/>
  <c r="T88" i="1" s="1"/>
  <c r="V89" i="1"/>
  <c r="P89" i="1" a="1"/>
  <c r="P89" i="1" s="1"/>
  <c r="Q89" i="1" s="1"/>
  <c r="T89" i="1" s="1"/>
  <c r="AD86" i="1"/>
  <c r="AD87" i="1"/>
  <c r="P86" i="1" a="1"/>
  <c r="P86" i="1" s="1"/>
  <c r="Q86" i="1" s="1"/>
  <c r="AA86" i="1" s="1"/>
  <c r="W87" i="1"/>
  <c r="P87" i="1" a="1"/>
  <c r="P87" i="1" s="1"/>
  <c r="Q87" i="1" s="1"/>
  <c r="S87" i="1" s="1"/>
  <c r="AE89" i="1"/>
  <c r="W89" i="1"/>
  <c r="AE88" i="1"/>
  <c r="W88" i="1"/>
  <c r="W86" i="1"/>
  <c r="AE86" i="1"/>
  <c r="R88" i="1" l="1"/>
  <c r="R86" i="1"/>
  <c r="S86" i="1"/>
  <c r="S88" i="1"/>
  <c r="X88" i="1" s="1"/>
  <c r="AA88" i="1"/>
  <c r="AA89" i="1"/>
  <c r="S89" i="1"/>
  <c r="AN89" i="1" s="1"/>
  <c r="R89" i="1"/>
  <c r="T86" i="1"/>
  <c r="R87" i="1"/>
  <c r="T87" i="1"/>
  <c r="Y87" i="1" s="1"/>
  <c r="AS89" i="1"/>
  <c r="AA87" i="1"/>
  <c r="AP89" i="1"/>
  <c r="Y89" i="1"/>
  <c r="X89" i="1"/>
  <c r="Z89" i="1" l="1"/>
  <c r="AR89" i="1"/>
  <c r="AP87" i="1"/>
  <c r="X87" i="1"/>
  <c r="Z87" i="1"/>
  <c r="AQ89" i="1"/>
  <c r="AN87" i="1"/>
  <c r="AR87" i="1"/>
  <c r="AS87" i="1"/>
  <c r="Z86" i="1"/>
  <c r="AQ87" i="1"/>
  <c r="AO88" i="1"/>
  <c r="AN88" i="1"/>
  <c r="AR88" i="1"/>
  <c r="AP88" i="1"/>
  <c r="AO86" i="1"/>
  <c r="AO90" i="1" s="1"/>
  <c r="B94" i="1" s="1" a="1"/>
  <c r="B94" i="1" s="1"/>
  <c r="AS88" i="1"/>
  <c r="Z88" i="1"/>
  <c r="AQ88" i="1"/>
  <c r="R90" i="1"/>
  <c r="AO89" i="1"/>
  <c r="Y88" i="1"/>
  <c r="AS86" i="1"/>
  <c r="AR86" i="1"/>
  <c r="AN86" i="1"/>
  <c r="AQ86" i="1"/>
  <c r="Y86" i="1"/>
  <c r="Y90" i="1" s="1"/>
  <c r="H94" i="1" s="1" a="1"/>
  <c r="H94" i="1" s="1"/>
  <c r="AB96" i="1" s="1" a="1"/>
  <c r="AB96" i="1" s="1"/>
  <c r="AP86" i="1"/>
  <c r="X86" i="1"/>
  <c r="AO87" i="1"/>
  <c r="Z90" i="1" l="1"/>
  <c r="I94" i="1" s="1" a="1"/>
  <c r="I94" i="1" s="1"/>
  <c r="AC97" i="1" s="1" a="1"/>
  <c r="AC97" i="1" s="1"/>
  <c r="X90" i="1"/>
  <c r="G94" i="1" s="1" a="1"/>
  <c r="G94" i="1" s="1"/>
  <c r="AP90" i="1"/>
  <c r="C94" i="1" s="1" a="1"/>
  <c r="C94" i="1" s="1"/>
  <c r="AQ90" i="1"/>
  <c r="D94" i="1" s="1" a="1"/>
  <c r="D94" i="1" s="1"/>
  <c r="AS90" i="1"/>
  <c r="F94" i="1" s="1" a="1"/>
  <c r="F94" i="1" s="1"/>
  <c r="AR90" i="1"/>
  <c r="E94" i="1" s="1" a="1"/>
  <c r="E94" i="1" s="1"/>
  <c r="AN90" i="1"/>
  <c r="A94" i="1" s="1" a="1"/>
  <c r="A94" i="1" s="1"/>
  <c r="AB95" i="1" a="1"/>
  <c r="AB95" i="1" s="1"/>
  <c r="AB97" i="1" a="1"/>
  <c r="AB97" i="1" s="1"/>
  <c r="AB94" i="1" a="1"/>
  <c r="AB94" i="1" s="1"/>
  <c r="AC96" i="1" l="1" a="1"/>
  <c r="AC96" i="1" s="1"/>
  <c r="AC95" i="1" a="1"/>
  <c r="AC95" i="1" s="1"/>
  <c r="AC94" i="1" a="1"/>
  <c r="AC94" i="1" s="1"/>
  <c r="L97" i="1" a="1"/>
  <c r="L97" i="1" s="1"/>
  <c r="N97" i="1" s="1"/>
  <c r="V97" i="1" s="1"/>
  <c r="M95" i="1" a="1"/>
  <c r="M95" i="1" s="1"/>
  <c r="O95" i="1" s="1"/>
  <c r="W95" i="1" s="1"/>
  <c r="L95" i="1" a="1"/>
  <c r="L95" i="1" s="1"/>
  <c r="N95" i="1" s="1"/>
  <c r="M96" i="1" a="1"/>
  <c r="M96" i="1" s="1"/>
  <c r="O96" i="1" s="1"/>
  <c r="AE96" i="1" s="1"/>
  <c r="M97" i="1" a="1"/>
  <c r="M97" i="1" s="1"/>
  <c r="O97" i="1" s="1"/>
  <c r="W97" i="1" s="1"/>
  <c r="L96" i="1" a="1"/>
  <c r="L96" i="1" s="1"/>
  <c r="N96" i="1" s="1"/>
  <c r="V96" i="1" s="1"/>
  <c r="L94" i="1" a="1"/>
  <c r="L94" i="1" s="1"/>
  <c r="N94" i="1" s="1"/>
  <c r="V94" i="1" s="1"/>
  <c r="M94" i="1" a="1"/>
  <c r="M94" i="1" s="1"/>
  <c r="O94" i="1" s="1"/>
  <c r="AE94" i="1" s="1"/>
  <c r="AD94" i="1" l="1"/>
  <c r="AD97" i="1"/>
  <c r="AE95" i="1"/>
  <c r="P95" i="1" a="1"/>
  <c r="P95" i="1" s="1"/>
  <c r="Q95" i="1" s="1"/>
  <c r="T95" i="1" s="1"/>
  <c r="AD96" i="1"/>
  <c r="AD95" i="1"/>
  <c r="W94" i="1"/>
  <c r="P94" i="1" a="1"/>
  <c r="P94" i="1" s="1"/>
  <c r="Q94" i="1" s="1"/>
  <c r="T94" i="1" s="1"/>
  <c r="P97" i="1" a="1"/>
  <c r="P97" i="1" s="1"/>
  <c r="Q97" i="1" s="1"/>
  <c r="T97" i="1" s="1"/>
  <c r="P96" i="1" a="1"/>
  <c r="P96" i="1" s="1"/>
  <c r="Q96" i="1" s="1"/>
  <c r="R96" i="1" s="1"/>
  <c r="V95" i="1"/>
  <c r="AE97" i="1"/>
  <c r="W96" i="1"/>
  <c r="S94" i="1" l="1"/>
  <c r="X94" i="1" s="1"/>
  <c r="R94" i="1"/>
  <c r="AA94" i="1"/>
  <c r="R95" i="1"/>
  <c r="S95" i="1"/>
  <c r="X95" i="1" s="1"/>
  <c r="AA95" i="1"/>
  <c r="R97" i="1"/>
  <c r="AA97" i="1"/>
  <c r="AA96" i="1"/>
  <c r="T96" i="1"/>
  <c r="S96" i="1"/>
  <c r="S97" i="1"/>
  <c r="AQ97" i="1" s="1"/>
  <c r="AN94" i="1" l="1"/>
  <c r="Z94" i="1"/>
  <c r="AS94" i="1"/>
  <c r="AP94" i="1"/>
  <c r="Y94" i="1"/>
  <c r="AO94" i="1"/>
  <c r="AQ94" i="1"/>
  <c r="AR94" i="1"/>
  <c r="AP95" i="1"/>
  <c r="AN95" i="1"/>
  <c r="AQ95" i="1"/>
  <c r="AS95" i="1"/>
  <c r="AO95" i="1"/>
  <c r="Y95" i="1"/>
  <c r="AP96" i="1"/>
  <c r="R98" i="1"/>
  <c r="Z95" i="1"/>
  <c r="AR95" i="1"/>
  <c r="AR96" i="1"/>
  <c r="AN96" i="1"/>
  <c r="X96" i="1"/>
  <c r="Z96" i="1"/>
  <c r="AO96" i="1"/>
  <c r="Y96" i="1"/>
  <c r="AS96" i="1"/>
  <c r="AQ96" i="1"/>
  <c r="Y97" i="1"/>
  <c r="Z97" i="1"/>
  <c r="X97" i="1"/>
  <c r="AS97" i="1"/>
  <c r="AP97" i="1"/>
  <c r="AP98" i="1" s="1"/>
  <c r="C102" i="1" s="1" a="1"/>
  <c r="C102" i="1" s="1"/>
  <c r="AN97" i="1"/>
  <c r="AO97" i="1"/>
  <c r="AR97" i="1"/>
  <c r="X98" i="1" l="1"/>
  <c r="G102" i="1" s="1" a="1"/>
  <c r="G102" i="1" s="1"/>
  <c r="Z98" i="1"/>
  <c r="I102" i="1" s="1" a="1"/>
  <c r="I102" i="1" s="1"/>
  <c r="AC104" i="1" s="1" a="1"/>
  <c r="AC104" i="1" s="1"/>
  <c r="Y98" i="1"/>
  <c r="H102" i="1" s="1" a="1"/>
  <c r="H102" i="1" s="1"/>
  <c r="AQ98" i="1"/>
  <c r="D102" i="1" s="1" a="1"/>
  <c r="D102" i="1" s="1"/>
  <c r="AR98" i="1"/>
  <c r="E102" i="1" s="1" a="1"/>
  <c r="E102" i="1" s="1"/>
  <c r="AS98" i="1"/>
  <c r="F102" i="1" s="1" a="1"/>
  <c r="F102" i="1" s="1"/>
  <c r="AO98" i="1"/>
  <c r="B102" i="1" s="1" a="1"/>
  <c r="B102" i="1" s="1"/>
  <c r="AN98" i="1"/>
  <c r="A102" i="1" s="1" a="1"/>
  <c r="A102" i="1" s="1"/>
  <c r="AB104" i="1" a="1"/>
  <c r="AB104" i="1" s="1"/>
  <c r="AB102" i="1" a="1"/>
  <c r="AB102" i="1" s="1"/>
  <c r="AB105" i="1" a="1"/>
  <c r="AB105" i="1" s="1"/>
  <c r="AB103" i="1" a="1"/>
  <c r="AB103" i="1" s="1"/>
  <c r="AC105" i="1" l="1" a="1"/>
  <c r="AC105" i="1" s="1"/>
  <c r="AC102" i="1" a="1"/>
  <c r="AC102" i="1" s="1"/>
  <c r="AC103" i="1" a="1"/>
  <c r="AC103" i="1" s="1"/>
  <c r="M104" i="1" a="1"/>
  <c r="M104" i="1" s="1"/>
  <c r="O104" i="1" s="1"/>
  <c r="W104" i="1" s="1"/>
  <c r="L104" i="1" a="1"/>
  <c r="L104" i="1" s="1"/>
  <c r="N104" i="1" s="1"/>
  <c r="V104" i="1" s="1"/>
  <c r="M105" i="1" a="1"/>
  <c r="M105" i="1" s="1"/>
  <c r="O105" i="1" s="1"/>
  <c r="AE105" i="1" s="1"/>
  <c r="L105" i="1" a="1"/>
  <c r="L105" i="1" s="1"/>
  <c r="N105" i="1" s="1"/>
  <c r="L102" i="1" a="1"/>
  <c r="L102" i="1" s="1"/>
  <c r="N102" i="1" s="1"/>
  <c r="AD102" i="1" s="1"/>
  <c r="L103" i="1" a="1"/>
  <c r="L103" i="1" s="1"/>
  <c r="N103" i="1" s="1"/>
  <c r="V103" i="1" s="1"/>
  <c r="M103" i="1" a="1"/>
  <c r="M103" i="1" s="1"/>
  <c r="O103" i="1" s="1"/>
  <c r="AE103" i="1" s="1"/>
  <c r="M102" i="1" a="1"/>
  <c r="M102" i="1" s="1"/>
  <c r="O102" i="1" s="1"/>
  <c r="AE102" i="1" s="1"/>
  <c r="W103" i="1" l="1"/>
  <c r="P105" i="1" a="1"/>
  <c r="P105" i="1" s="1"/>
  <c r="Q105" i="1" s="1"/>
  <c r="R105" i="1" s="1"/>
  <c r="AD104" i="1"/>
  <c r="P103" i="1" a="1"/>
  <c r="P103" i="1" s="1"/>
  <c r="Q103" i="1" s="1"/>
  <c r="S103" i="1" s="1"/>
  <c r="AE104" i="1"/>
  <c r="P104" i="1" a="1"/>
  <c r="P104" i="1" s="1"/>
  <c r="Q104" i="1" s="1"/>
  <c r="T104" i="1" s="1"/>
  <c r="W102" i="1"/>
  <c r="AD105" i="1"/>
  <c r="V105" i="1"/>
  <c r="AD103" i="1"/>
  <c r="P102" i="1" a="1"/>
  <c r="P102" i="1" s="1"/>
  <c r="Q102" i="1" s="1"/>
  <c r="AA102" i="1" s="1"/>
  <c r="V102" i="1"/>
  <c r="W105" i="1"/>
  <c r="S104" i="1" l="1"/>
  <c r="Y104" i="1" s="1"/>
  <c r="AA105" i="1"/>
  <c r="R104" i="1"/>
  <c r="AA104" i="1"/>
  <c r="T105" i="1"/>
  <c r="S105" i="1"/>
  <c r="AA103" i="1"/>
  <c r="T103" i="1"/>
  <c r="AS103" i="1" s="1"/>
  <c r="R103" i="1"/>
  <c r="S102" i="1"/>
  <c r="T102" i="1"/>
  <c r="R102" i="1"/>
  <c r="AN105" i="1" l="1"/>
  <c r="R106" i="1"/>
  <c r="AO104" i="1"/>
  <c r="AR104" i="1"/>
  <c r="AQ104" i="1"/>
  <c r="AN104" i="1"/>
  <c r="AP104" i="1"/>
  <c r="AS104" i="1"/>
  <c r="X104" i="1"/>
  <c r="Z104" i="1"/>
  <c r="AO103" i="1"/>
  <c r="AS105" i="1"/>
  <c r="AQ105" i="1"/>
  <c r="Y105" i="1"/>
  <c r="AO105" i="1"/>
  <c r="X105" i="1"/>
  <c r="Z105" i="1"/>
  <c r="AR105" i="1"/>
  <c r="AP105" i="1"/>
  <c r="AQ103" i="1"/>
  <c r="AR103" i="1"/>
  <c r="AP103" i="1"/>
  <c r="AN103" i="1"/>
  <c r="Z103" i="1"/>
  <c r="X103" i="1"/>
  <c r="Y103" i="1"/>
  <c r="AR102" i="1"/>
  <c r="X102" i="1"/>
  <c r="AN102" i="1"/>
  <c r="Z102" i="1"/>
  <c r="AP102" i="1"/>
  <c r="Y102" i="1"/>
  <c r="AQ102" i="1"/>
  <c r="AS102" i="1"/>
  <c r="AO102" i="1"/>
  <c r="AO106" i="1" l="1"/>
  <c r="B110" i="1" s="1" a="1"/>
  <c r="B110" i="1" s="1"/>
  <c r="AS106" i="1"/>
  <c r="F110" i="1" s="1" a="1"/>
  <c r="F110" i="1" s="1"/>
  <c r="Y106" i="1"/>
  <c r="H110" i="1" s="1" a="1"/>
  <c r="H110" i="1" s="1"/>
  <c r="AB110" i="1" s="1" a="1"/>
  <c r="AB110" i="1" s="1"/>
  <c r="AP106" i="1"/>
  <c r="C110" i="1" s="1" a="1"/>
  <c r="C110" i="1" s="1"/>
  <c r="Z106" i="1"/>
  <c r="I110" i="1" s="1" a="1"/>
  <c r="I110" i="1" s="1"/>
  <c r="AC112" i="1" s="1" a="1"/>
  <c r="AC112" i="1" s="1"/>
  <c r="AN106" i="1"/>
  <c r="A110" i="1" s="1" a="1"/>
  <c r="A110" i="1" s="1"/>
  <c r="X106" i="1"/>
  <c r="G110" i="1" s="1" a="1"/>
  <c r="G110" i="1" s="1"/>
  <c r="AQ106" i="1"/>
  <c r="D110" i="1" s="1" a="1"/>
  <c r="D110" i="1" s="1"/>
  <c r="AR106" i="1"/>
  <c r="E110" i="1" s="1" a="1"/>
  <c r="E110" i="1" s="1"/>
  <c r="AC111" i="1" l="1" a="1"/>
  <c r="AC111" i="1" s="1"/>
  <c r="AC110" i="1" a="1"/>
  <c r="AC110" i="1" s="1"/>
  <c r="AC113" i="1" a="1"/>
  <c r="AC113" i="1" s="1"/>
  <c r="AB112" i="1" a="1"/>
  <c r="AB112" i="1" s="1"/>
  <c r="AB111" i="1" a="1"/>
  <c r="AB111" i="1" s="1"/>
  <c r="AB113" i="1" a="1"/>
  <c r="AB113" i="1" s="1"/>
  <c r="L111" i="1" a="1"/>
  <c r="L111" i="1" s="1"/>
  <c r="N111" i="1" s="1"/>
  <c r="V111" i="1" s="1"/>
  <c r="L113" i="1" a="1"/>
  <c r="L113" i="1" s="1"/>
  <c r="N113" i="1" s="1"/>
  <c r="AD113" i="1" s="1"/>
  <c r="L110" i="1" a="1"/>
  <c r="L110" i="1" s="1"/>
  <c r="N110" i="1" s="1"/>
  <c r="V110" i="1" s="1"/>
  <c r="L112" i="1" a="1"/>
  <c r="L112" i="1" s="1"/>
  <c r="N112" i="1" s="1"/>
  <c r="V112" i="1" s="1"/>
  <c r="M110" i="1" a="1"/>
  <c r="M110" i="1" s="1"/>
  <c r="O110" i="1" s="1"/>
  <c r="AE110" i="1" s="1"/>
  <c r="M111" i="1" a="1"/>
  <c r="M111" i="1" s="1"/>
  <c r="O111" i="1" s="1"/>
  <c r="AE111" i="1" s="1"/>
  <c r="M113" i="1" a="1"/>
  <c r="M113" i="1" s="1"/>
  <c r="O113" i="1" s="1"/>
  <c r="AE113" i="1" s="1"/>
  <c r="M112" i="1" a="1"/>
  <c r="M112" i="1" s="1"/>
  <c r="O112" i="1" s="1"/>
  <c r="AE112" i="1" s="1"/>
  <c r="V113" i="1"/>
  <c r="AD111" i="1" l="1"/>
  <c r="AD112" i="1"/>
  <c r="AD110" i="1"/>
  <c r="W110" i="1"/>
  <c r="P110" i="1" a="1"/>
  <c r="P110" i="1" s="1"/>
  <c r="Q110" i="1" s="1"/>
  <c r="AA110" i="1" s="1"/>
  <c r="P111" i="1" a="1"/>
  <c r="P111" i="1" s="1"/>
  <c r="Q111" i="1" s="1"/>
  <c r="T111" i="1" s="1"/>
  <c r="W111" i="1"/>
  <c r="P113" i="1" a="1"/>
  <c r="P113" i="1" s="1"/>
  <c r="Q113" i="1" s="1"/>
  <c r="S113" i="1" s="1"/>
  <c r="P112" i="1" a="1"/>
  <c r="P112" i="1" s="1"/>
  <c r="Q112" i="1" s="1"/>
  <c r="T112" i="1" s="1"/>
  <c r="W113" i="1"/>
  <c r="W112" i="1"/>
  <c r="R111" i="1" l="1"/>
  <c r="AA111" i="1"/>
  <c r="S111" i="1"/>
  <c r="AO111" i="1" s="1"/>
  <c r="R110" i="1"/>
  <c r="S110" i="1"/>
  <c r="T110" i="1"/>
  <c r="S112" i="1"/>
  <c r="Z112" i="1" s="1"/>
  <c r="R112" i="1"/>
  <c r="AA112" i="1"/>
  <c r="T113" i="1"/>
  <c r="AN113" i="1" s="1"/>
  <c r="R113" i="1"/>
  <c r="AA113" i="1"/>
  <c r="Z111" i="1"/>
  <c r="AS111" i="1"/>
  <c r="Y111" i="1"/>
  <c r="X111" i="1"/>
  <c r="AP111" i="1" l="1"/>
  <c r="AR111" i="1"/>
  <c r="AN111" i="1"/>
  <c r="AQ111" i="1"/>
  <c r="AN112" i="1"/>
  <c r="X113" i="1"/>
  <c r="AR113" i="1"/>
  <c r="AR110" i="1"/>
  <c r="AQ113" i="1"/>
  <c r="AO110" i="1"/>
  <c r="Y110" i="1"/>
  <c r="Z110" i="1"/>
  <c r="AN110" i="1"/>
  <c r="X110" i="1"/>
  <c r="AS110" i="1"/>
  <c r="AQ110" i="1"/>
  <c r="AO113" i="1"/>
  <c r="AP110" i="1"/>
  <c r="Z113" i="1"/>
  <c r="Y113" i="1"/>
  <c r="R114" i="1"/>
  <c r="AS113" i="1"/>
  <c r="AP112" i="1"/>
  <c r="Y112" i="1"/>
  <c r="AS112" i="1"/>
  <c r="AR112" i="1"/>
  <c r="AQ112" i="1"/>
  <c r="X112" i="1"/>
  <c r="AO112" i="1"/>
  <c r="AP113" i="1"/>
  <c r="Z114" i="1" l="1"/>
  <c r="I118" i="1" s="1" a="1"/>
  <c r="I118" i="1" s="1"/>
  <c r="AC120" i="1" s="1" a="1"/>
  <c r="AC120" i="1" s="1"/>
  <c r="AR114" i="1"/>
  <c r="E118" i="1" s="1" a="1"/>
  <c r="E118" i="1" s="1"/>
  <c r="AN114" i="1"/>
  <c r="A118" i="1" s="1" a="1"/>
  <c r="A118" i="1" s="1"/>
  <c r="AS114" i="1"/>
  <c r="F118" i="1" s="1" a="1"/>
  <c r="F118" i="1" s="1"/>
  <c r="AO114" i="1"/>
  <c r="B118" i="1" s="1" a="1"/>
  <c r="B118" i="1" s="1"/>
  <c r="X114" i="1"/>
  <c r="G118" i="1" s="1" a="1"/>
  <c r="G118" i="1" s="1"/>
  <c r="AQ114" i="1"/>
  <c r="D118" i="1" s="1" a="1"/>
  <c r="D118" i="1" s="1"/>
  <c r="Y114" i="1"/>
  <c r="H118" i="1" s="1" a="1"/>
  <c r="H118" i="1" s="1"/>
  <c r="AB121" i="1" s="1" a="1"/>
  <c r="AB121" i="1" s="1"/>
  <c r="AP114" i="1"/>
  <c r="C118" i="1" s="1" a="1"/>
  <c r="C118" i="1" s="1"/>
  <c r="AC121" i="1" l="1" a="1"/>
  <c r="AC121" i="1" s="1"/>
  <c r="AC119" i="1" a="1"/>
  <c r="AC119" i="1" s="1"/>
  <c r="AC118" i="1" a="1"/>
  <c r="AC118" i="1" s="1"/>
  <c r="M119" i="1" a="1"/>
  <c r="M119" i="1" s="1"/>
  <c r="O119" i="1" s="1"/>
  <c r="AE119" i="1" s="1"/>
  <c r="M118" i="1" a="1"/>
  <c r="M118" i="1" s="1"/>
  <c r="O118" i="1" s="1"/>
  <c r="W118" i="1" s="1"/>
  <c r="M120" i="1" a="1"/>
  <c r="M120" i="1" s="1"/>
  <c r="O120" i="1" s="1"/>
  <c r="AE120" i="1" s="1"/>
  <c r="L120" i="1" a="1"/>
  <c r="L120" i="1" s="1"/>
  <c r="N120" i="1" s="1"/>
  <c r="V120" i="1" s="1"/>
  <c r="M121" i="1" a="1"/>
  <c r="M121" i="1" s="1"/>
  <c r="O121" i="1" s="1"/>
  <c r="W121" i="1" s="1"/>
  <c r="L121" i="1" a="1"/>
  <c r="L121" i="1" s="1"/>
  <c r="N121" i="1" s="1"/>
  <c r="V121" i="1" s="1"/>
  <c r="L119" i="1" a="1"/>
  <c r="L119" i="1" s="1"/>
  <c r="N119" i="1" s="1"/>
  <c r="V119" i="1" s="1"/>
  <c r="L118" i="1" a="1"/>
  <c r="L118" i="1" s="1"/>
  <c r="N118" i="1" s="1"/>
  <c r="V118" i="1" s="1"/>
  <c r="AB119" i="1" a="1"/>
  <c r="AB119" i="1" s="1"/>
  <c r="AB120" i="1" a="1"/>
  <c r="AB120" i="1" s="1"/>
  <c r="AB118" i="1" a="1"/>
  <c r="AB118" i="1" s="1"/>
  <c r="AE121" i="1"/>
  <c r="W119" i="1"/>
  <c r="AE118" i="1" l="1"/>
  <c r="W120" i="1"/>
  <c r="P120" i="1" a="1"/>
  <c r="P120" i="1" s="1"/>
  <c r="Q120" i="1" s="1"/>
  <c r="T120" i="1" s="1"/>
  <c r="AD120" i="1"/>
  <c r="AD121" i="1"/>
  <c r="P121" i="1" a="1"/>
  <c r="P121" i="1" s="1"/>
  <c r="Q121" i="1" s="1"/>
  <c r="T121" i="1" s="1"/>
  <c r="P118" i="1" a="1"/>
  <c r="P118" i="1" s="1"/>
  <c r="Q118" i="1" s="1"/>
  <c r="R118" i="1" s="1"/>
  <c r="AD119" i="1"/>
  <c r="P119" i="1" a="1"/>
  <c r="P119" i="1" s="1"/>
  <c r="Q119" i="1" s="1"/>
  <c r="AD118" i="1"/>
  <c r="R120" i="1" l="1"/>
  <c r="S120" i="1"/>
  <c r="AO120" i="1" s="1"/>
  <c r="AA120" i="1"/>
  <c r="S121" i="1"/>
  <c r="AR121" i="1" s="1"/>
  <c r="R121" i="1"/>
  <c r="AA121" i="1"/>
  <c r="T118" i="1"/>
  <c r="AA118" i="1"/>
  <c r="S118" i="1"/>
  <c r="X118" i="1" s="1"/>
  <c r="AA119" i="1"/>
  <c r="S119" i="1"/>
  <c r="T119" i="1"/>
  <c r="R119" i="1"/>
  <c r="Z121" i="1"/>
  <c r="AO121" i="1"/>
  <c r="AP121" i="1"/>
  <c r="Y121" i="1" l="1"/>
  <c r="AP118" i="1"/>
  <c r="Z118" i="1"/>
  <c r="R122" i="1"/>
  <c r="AN120" i="1"/>
  <c r="X120" i="1"/>
  <c r="AR120" i="1"/>
  <c r="Z120" i="1"/>
  <c r="Y120" i="1"/>
  <c r="AP120" i="1"/>
  <c r="AQ120" i="1"/>
  <c r="AS120" i="1"/>
  <c r="X121" i="1"/>
  <c r="AN118" i="1"/>
  <c r="AN121" i="1"/>
  <c r="AQ121" i="1"/>
  <c r="AS121" i="1"/>
  <c r="AR118" i="1"/>
  <c r="AO118" i="1"/>
  <c r="AS118" i="1"/>
  <c r="Y118" i="1"/>
  <c r="AQ118" i="1"/>
  <c r="X119" i="1"/>
  <c r="Y119" i="1"/>
  <c r="AQ119" i="1"/>
  <c r="AS119" i="1"/>
  <c r="AP119" i="1"/>
  <c r="AN119" i="1"/>
  <c r="AO119" i="1"/>
  <c r="Z119" i="1"/>
  <c r="Z122" i="1" s="1"/>
  <c r="I126" i="1" s="1" a="1"/>
  <c r="I126" i="1" s="1"/>
  <c r="AC126" i="1" s="1" a="1"/>
  <c r="AC126" i="1" s="1"/>
  <c r="AR119" i="1"/>
  <c r="Y122" i="1" l="1"/>
  <c r="H126" i="1" s="1" a="1"/>
  <c r="H126" i="1" s="1"/>
  <c r="AB129" i="1" s="1" a="1"/>
  <c r="AB129" i="1" s="1"/>
  <c r="AP122" i="1"/>
  <c r="C126" i="1" s="1" a="1"/>
  <c r="C126" i="1" s="1"/>
  <c r="AO122" i="1"/>
  <c r="B126" i="1" s="1" a="1"/>
  <c r="B126" i="1" s="1"/>
  <c r="AN122" i="1"/>
  <c r="A126" i="1" s="1" a="1"/>
  <c r="A126" i="1" s="1"/>
  <c r="AS122" i="1"/>
  <c r="F126" i="1" s="1" a="1"/>
  <c r="F126" i="1" s="1"/>
  <c r="X122" i="1"/>
  <c r="G126" i="1" s="1" a="1"/>
  <c r="G126" i="1" s="1"/>
  <c r="AQ122" i="1"/>
  <c r="D126" i="1" s="1" a="1"/>
  <c r="D126" i="1" s="1"/>
  <c r="AR122" i="1"/>
  <c r="E126" i="1" s="1" a="1"/>
  <c r="E126" i="1" s="1"/>
  <c r="AC128" i="1" a="1"/>
  <c r="AC128" i="1" s="1"/>
  <c r="AC127" i="1" a="1"/>
  <c r="AC127" i="1" s="1"/>
  <c r="AC129" i="1" a="1"/>
  <c r="AC129" i="1" s="1"/>
  <c r="AB128" i="1" l="1" a="1"/>
  <c r="AB128" i="1" s="1"/>
  <c r="AB126" i="1" a="1"/>
  <c r="AB126" i="1" s="1"/>
  <c r="AB127" i="1" a="1"/>
  <c r="AB127" i="1" s="1"/>
  <c r="L128" i="1" a="1"/>
  <c r="L128" i="1" s="1"/>
  <c r="N128" i="1" s="1"/>
  <c r="AD128" i="1" s="1"/>
  <c r="L129" i="1" a="1"/>
  <c r="L129" i="1" s="1"/>
  <c r="N129" i="1" s="1"/>
  <c r="L126" i="1" a="1"/>
  <c r="L126" i="1" s="1"/>
  <c r="N126" i="1" s="1"/>
  <c r="AD126" i="1" s="1"/>
  <c r="L127" i="1" a="1"/>
  <c r="L127" i="1" s="1"/>
  <c r="N127" i="1" s="1"/>
  <c r="V127" i="1" s="1"/>
  <c r="M129" i="1" a="1"/>
  <c r="M129" i="1" s="1"/>
  <c r="O129" i="1" s="1"/>
  <c r="AE129" i="1" s="1"/>
  <c r="M128" i="1" a="1"/>
  <c r="M128" i="1" s="1"/>
  <c r="O128" i="1" s="1"/>
  <c r="W128" i="1" s="1"/>
  <c r="M127" i="1" a="1"/>
  <c r="M127" i="1" s="1"/>
  <c r="O127" i="1" s="1"/>
  <c r="M126" i="1" a="1"/>
  <c r="M126" i="1" s="1"/>
  <c r="O126" i="1" s="1"/>
  <c r="AE126" i="1" s="1"/>
  <c r="V126" i="1"/>
  <c r="V128" i="1"/>
  <c r="AD129" i="1"/>
  <c r="V129" i="1"/>
  <c r="P126" i="1" l="1" a="1"/>
  <c r="P126" i="1" s="1"/>
  <c r="Q126" i="1" s="1"/>
  <c r="R126" i="1" s="1"/>
  <c r="AD127" i="1"/>
  <c r="W126" i="1"/>
  <c r="P129" i="1" a="1"/>
  <c r="P129" i="1" s="1"/>
  <c r="Q129" i="1" s="1"/>
  <c r="T129" i="1" s="1"/>
  <c r="W129" i="1"/>
  <c r="P128" i="1" a="1"/>
  <c r="P128" i="1" s="1"/>
  <c r="Q128" i="1" s="1"/>
  <c r="T128" i="1" s="1"/>
  <c r="AE128" i="1"/>
  <c r="W127" i="1"/>
  <c r="AE127" i="1"/>
  <c r="P127" i="1" a="1"/>
  <c r="P127" i="1" s="1"/>
  <c r="Q127" i="1" s="1"/>
  <c r="AA126" i="1" l="1"/>
  <c r="S126" i="1"/>
  <c r="T126" i="1"/>
  <c r="R129" i="1"/>
  <c r="S129" i="1"/>
  <c r="Y129" i="1" s="1"/>
  <c r="AA129" i="1"/>
  <c r="AA128" i="1"/>
  <c r="R128" i="1"/>
  <c r="S128" i="1"/>
  <c r="Y128" i="1" s="1"/>
  <c r="AA127" i="1"/>
  <c r="T127" i="1"/>
  <c r="R127" i="1"/>
  <c r="R130" i="1" s="1"/>
  <c r="S127" i="1"/>
  <c r="AR128" i="1"/>
  <c r="X128" i="1"/>
  <c r="AP129" i="1"/>
  <c r="Z129" i="1" l="1"/>
  <c r="AQ128" i="1"/>
  <c r="AP128" i="1"/>
  <c r="AO128" i="1"/>
  <c r="X129" i="1"/>
  <c r="Z126" i="1"/>
  <c r="AN129" i="1"/>
  <c r="Y126" i="1"/>
  <c r="AS126" i="1"/>
  <c r="AR126" i="1"/>
  <c r="AP126" i="1"/>
  <c r="X126" i="1"/>
  <c r="AQ126" i="1"/>
  <c r="AN126" i="1"/>
  <c r="AO126" i="1"/>
  <c r="AN128" i="1"/>
  <c r="AO129" i="1"/>
  <c r="AS129" i="1"/>
  <c r="AS128" i="1"/>
  <c r="AR129" i="1"/>
  <c r="Z128" i="1"/>
  <c r="AQ129" i="1"/>
  <c r="AR127" i="1"/>
  <c r="Z127" i="1"/>
  <c r="AQ127" i="1"/>
  <c r="Y127" i="1"/>
  <c r="AP127" i="1"/>
  <c r="AO127" i="1"/>
  <c r="AN127" i="1"/>
  <c r="X127" i="1"/>
  <c r="X130" i="1" s="1"/>
  <c r="G134" i="1" s="1" a="1"/>
  <c r="G134" i="1" s="1"/>
  <c r="AS127" i="1"/>
  <c r="AP130" i="1"/>
  <c r="C134" i="1" s="1" a="1"/>
  <c r="C134" i="1" s="1"/>
  <c r="AO130" i="1" l="1"/>
  <c r="B134" i="1" s="1" a="1"/>
  <c r="B134" i="1" s="1"/>
  <c r="AN130" i="1"/>
  <c r="A134" i="1" s="1" a="1"/>
  <c r="A134" i="1" s="1"/>
  <c r="Z130" i="1"/>
  <c r="I134" i="1" s="1" a="1"/>
  <c r="I134" i="1" s="1"/>
  <c r="AC137" i="1" s="1" a="1"/>
  <c r="AC137" i="1" s="1"/>
  <c r="Y130" i="1"/>
  <c r="H134" i="1" s="1" a="1"/>
  <c r="H134" i="1" s="1"/>
  <c r="AB136" i="1" s="1" a="1"/>
  <c r="AB136" i="1" s="1"/>
  <c r="AQ130" i="1"/>
  <c r="D134" i="1" s="1" a="1"/>
  <c r="D134" i="1" s="1"/>
  <c r="AS130" i="1"/>
  <c r="F134" i="1" s="1" a="1"/>
  <c r="F134" i="1" s="1"/>
  <c r="AR130" i="1"/>
  <c r="E134" i="1" s="1" a="1"/>
  <c r="E134" i="1" s="1"/>
  <c r="M135" i="1" s="1" a="1"/>
  <c r="M135" i="1" s="1"/>
  <c r="O135" i="1" s="1"/>
  <c r="W135" i="1" s="1"/>
  <c r="AC136" i="1" a="1"/>
  <c r="AC136" i="1" s="1"/>
  <c r="AC134" i="1" a="1"/>
  <c r="AC134" i="1" s="1"/>
  <c r="AC135" i="1" a="1"/>
  <c r="AC135" i="1" s="1"/>
  <c r="M136" i="1" l="1" a="1"/>
  <c r="M136" i="1" s="1"/>
  <c r="O136" i="1" s="1"/>
  <c r="AE136" i="1" s="1"/>
  <c r="M134" i="1" a="1"/>
  <c r="M134" i="1" s="1"/>
  <c r="O134" i="1" s="1"/>
  <c r="M137" i="1" a="1"/>
  <c r="M137" i="1" s="1"/>
  <c r="O137" i="1" s="1"/>
  <c r="L135" i="1" a="1"/>
  <c r="L135" i="1" s="1"/>
  <c r="N135" i="1" s="1"/>
  <c r="AD135" i="1" s="1"/>
  <c r="L134" i="1" a="1"/>
  <c r="L134" i="1" s="1"/>
  <c r="N134" i="1" s="1"/>
  <c r="V134" i="1" s="1"/>
  <c r="L137" i="1" a="1"/>
  <c r="L137" i="1" s="1"/>
  <c r="N137" i="1" s="1"/>
  <c r="AD137" i="1" s="1"/>
  <c r="L136" i="1" a="1"/>
  <c r="L136" i="1" s="1"/>
  <c r="N136" i="1" s="1"/>
  <c r="AD136" i="1" s="1"/>
  <c r="AB135" i="1" a="1"/>
  <c r="AB135" i="1" s="1"/>
  <c r="AB137" i="1" a="1"/>
  <c r="AB137" i="1" s="1"/>
  <c r="AB134" i="1" a="1"/>
  <c r="AB134" i="1" s="1"/>
  <c r="V135" i="1"/>
  <c r="W134" i="1"/>
  <c r="AE134" i="1"/>
  <c r="P136" i="1" a="1"/>
  <c r="P136" i="1" s="1"/>
  <c r="Q136" i="1" s="1"/>
  <c r="S136" i="1" s="1"/>
  <c r="W136" i="1"/>
  <c r="AE135" i="1"/>
  <c r="V137" i="1" l="1"/>
  <c r="P137" i="1" a="1"/>
  <c r="P137" i="1" s="1"/>
  <c r="Q137" i="1" s="1"/>
  <c r="T137" i="1" s="1"/>
  <c r="P135" i="1" a="1"/>
  <c r="P135" i="1" s="1"/>
  <c r="Q135" i="1" s="1"/>
  <c r="T135" i="1" s="1"/>
  <c r="W137" i="1"/>
  <c r="AE137" i="1"/>
  <c r="AD134" i="1"/>
  <c r="V136" i="1"/>
  <c r="P134" i="1" a="1"/>
  <c r="P134" i="1" s="1"/>
  <c r="Q134" i="1" s="1"/>
  <c r="R134" i="1" s="1"/>
  <c r="R137" i="1"/>
  <c r="AA137" i="1"/>
  <c r="S137" i="1"/>
  <c r="AQ137" i="1" s="1"/>
  <c r="AA135" i="1"/>
  <c r="T136" i="1"/>
  <c r="X136" i="1" s="1"/>
  <c r="R136" i="1"/>
  <c r="AA136" i="1"/>
  <c r="R135" i="1" l="1"/>
  <c r="R138" i="1" s="1"/>
  <c r="S135" i="1"/>
  <c r="AQ135" i="1" s="1"/>
  <c r="AA134" i="1"/>
  <c r="AN137" i="1"/>
  <c r="Z137" i="1"/>
  <c r="AO137" i="1"/>
  <c r="AP137" i="1"/>
  <c r="AR137" i="1"/>
  <c r="AS137" i="1"/>
  <c r="X137" i="1"/>
  <c r="T134" i="1"/>
  <c r="S134" i="1"/>
  <c r="Y137" i="1"/>
  <c r="AN135" i="1"/>
  <c r="AR135" i="1"/>
  <c r="Y135" i="1"/>
  <c r="AP135" i="1"/>
  <c r="X135" i="1"/>
  <c r="Y136" i="1"/>
  <c r="AN136" i="1"/>
  <c r="AR136" i="1"/>
  <c r="AS136" i="1"/>
  <c r="Z136" i="1"/>
  <c r="AQ136" i="1"/>
  <c r="AO136" i="1"/>
  <c r="AP136" i="1"/>
  <c r="AO135" i="1" l="1"/>
  <c r="Z135" i="1"/>
  <c r="AS135" i="1"/>
  <c r="X134" i="1"/>
  <c r="Y134" i="1"/>
  <c r="Y138" i="1" s="1"/>
  <c r="H142" i="1" s="1" a="1"/>
  <c r="H142" i="1" s="1"/>
  <c r="AB145" i="1" s="1" a="1"/>
  <c r="AB145" i="1" s="1"/>
  <c r="AQ134" i="1"/>
  <c r="AQ138" i="1" s="1"/>
  <c r="D142" i="1" s="1" a="1"/>
  <c r="D142" i="1" s="1"/>
  <c r="Z134" i="1"/>
  <c r="AR134" i="1"/>
  <c r="AR138" i="1" s="1"/>
  <c r="E142" i="1" s="1" a="1"/>
  <c r="E142" i="1" s="1"/>
  <c r="AO134" i="1"/>
  <c r="AS134" i="1"/>
  <c r="AN134" i="1"/>
  <c r="AN138" i="1" s="1"/>
  <c r="A142" i="1" s="1" a="1"/>
  <c r="A142" i="1" s="1"/>
  <c r="AP134" i="1"/>
  <c r="AP138" i="1" s="1"/>
  <c r="C142" i="1" s="1" a="1"/>
  <c r="C142" i="1" s="1"/>
  <c r="Z138" i="1"/>
  <c r="I142" i="1" s="1" a="1"/>
  <c r="I142" i="1" s="1"/>
  <c r="AC143" i="1" s="1" a="1"/>
  <c r="AC143" i="1" s="1"/>
  <c r="X138" i="1"/>
  <c r="G142" i="1" s="1" a="1"/>
  <c r="G142" i="1" s="1"/>
  <c r="AS138" i="1"/>
  <c r="F142" i="1" s="1" a="1"/>
  <c r="F142" i="1" s="1"/>
  <c r="AO138" i="1" l="1"/>
  <c r="B142" i="1" s="1" a="1"/>
  <c r="B142" i="1" s="1"/>
  <c r="L145" i="1" s="1" a="1"/>
  <c r="L145" i="1" s="1"/>
  <c r="N145" i="1" s="1"/>
  <c r="L144" i="1" a="1"/>
  <c r="L144" i="1" s="1"/>
  <c r="N144" i="1" s="1"/>
  <c r="V144" i="1" s="1"/>
  <c r="AC142" i="1" a="1"/>
  <c r="AC142" i="1" s="1"/>
  <c r="AC144" i="1" a="1"/>
  <c r="AC144" i="1" s="1"/>
  <c r="M144" i="1" a="1"/>
  <c r="M144" i="1" s="1"/>
  <c r="O144" i="1" s="1"/>
  <c r="W144" i="1" s="1"/>
  <c r="M142" i="1" a="1"/>
  <c r="M142" i="1" s="1"/>
  <c r="O142" i="1" s="1"/>
  <c r="W142" i="1" s="1"/>
  <c r="AC145" i="1" a="1"/>
  <c r="AC145" i="1" s="1"/>
  <c r="AB142" i="1" a="1"/>
  <c r="AB142" i="1" s="1"/>
  <c r="AB144" i="1" a="1"/>
  <c r="AB144" i="1" s="1"/>
  <c r="AB143" i="1" a="1"/>
  <c r="AB143" i="1" s="1"/>
  <c r="L143" i="1" a="1"/>
  <c r="L143" i="1" s="1"/>
  <c r="N143" i="1" s="1"/>
  <c r="V143" i="1" s="1"/>
  <c r="M145" i="1" a="1"/>
  <c r="M145" i="1" s="1"/>
  <c r="O145" i="1" s="1"/>
  <c r="AE145" i="1" s="1"/>
  <c r="M143" i="1" a="1"/>
  <c r="M143" i="1" s="1"/>
  <c r="O143" i="1" s="1"/>
  <c r="W143" i="1" s="1"/>
  <c r="L142" i="1" a="1"/>
  <c r="L142" i="1" s="1"/>
  <c r="N142" i="1" s="1"/>
  <c r="P142" i="1" s="1" a="1"/>
  <c r="P142" i="1" s="1"/>
  <c r="Q142" i="1" s="1"/>
  <c r="AA142" i="1" s="1"/>
  <c r="AD144" i="1"/>
  <c r="V145" i="1" l="1"/>
  <c r="AD145" i="1"/>
  <c r="V142" i="1"/>
  <c r="W145" i="1"/>
  <c r="AD142" i="1"/>
  <c r="AD143" i="1"/>
  <c r="AE142" i="1"/>
  <c r="P144" i="1" a="1"/>
  <c r="P144" i="1" s="1"/>
  <c r="Q144" i="1" s="1"/>
  <c r="T144" i="1" s="1"/>
  <c r="AE144" i="1"/>
  <c r="P145" i="1" a="1"/>
  <c r="P145" i="1" s="1"/>
  <c r="Q145" i="1" s="1"/>
  <c r="S145" i="1" s="1"/>
  <c r="AE143" i="1"/>
  <c r="P143" i="1" a="1"/>
  <c r="P143" i="1" s="1"/>
  <c r="Q143" i="1" s="1"/>
  <c r="AA143" i="1" s="1"/>
  <c r="S144" i="1"/>
  <c r="Z144" i="1" s="1"/>
  <c r="T142" i="1"/>
  <c r="R142" i="1"/>
  <c r="R144" i="1"/>
  <c r="S142" i="1"/>
  <c r="AA144" i="1" l="1"/>
  <c r="S143" i="1"/>
  <c r="R143" i="1"/>
  <c r="T143" i="1"/>
  <c r="T145" i="1"/>
  <c r="AP145" i="1" s="1"/>
  <c r="R145" i="1"/>
  <c r="R146" i="1" s="1"/>
  <c r="AA145" i="1"/>
  <c r="AP144" i="1"/>
  <c r="AO144" i="1"/>
  <c r="AN144" i="1"/>
  <c r="AS144" i="1"/>
  <c r="AR144" i="1"/>
  <c r="AQ144" i="1"/>
  <c r="Y144" i="1"/>
  <c r="X144" i="1"/>
  <c r="Z142" i="1"/>
  <c r="AS142" i="1"/>
  <c r="AR142" i="1"/>
  <c r="AN142" i="1"/>
  <c r="AQ142" i="1"/>
  <c r="X142" i="1"/>
  <c r="Y142" i="1"/>
  <c r="AP142" i="1"/>
  <c r="Z145" i="1"/>
  <c r="AO142" i="1"/>
  <c r="AQ145" i="1"/>
  <c r="AS145" i="1"/>
  <c r="AR145" i="1"/>
  <c r="X145" i="1"/>
  <c r="AO145" i="1"/>
  <c r="Y145" i="1"/>
  <c r="Z143" i="1"/>
  <c r="AN145" i="1"/>
  <c r="X143" i="1" l="1"/>
  <c r="AN143" i="1"/>
  <c r="AO143" i="1"/>
  <c r="AQ143" i="1"/>
  <c r="AQ146" i="1" s="1"/>
  <c r="D150" i="1" s="1" a="1"/>
  <c r="D150" i="1" s="1"/>
  <c r="AP143" i="1"/>
  <c r="Y143" i="1"/>
  <c r="AR143" i="1"/>
  <c r="AS143" i="1"/>
  <c r="AN146" i="1"/>
  <c r="A150" i="1" s="1" a="1"/>
  <c r="A150" i="1" s="1"/>
  <c r="AS146" i="1"/>
  <c r="F150" i="1" s="1" a="1"/>
  <c r="F150" i="1" s="1"/>
  <c r="Z146" i="1"/>
  <c r="I150" i="1" s="1" a="1"/>
  <c r="I150" i="1" s="1"/>
  <c r="AC150" i="1" s="1" a="1"/>
  <c r="AC150" i="1" s="1"/>
  <c r="Y146" i="1"/>
  <c r="H150" i="1" s="1" a="1"/>
  <c r="H150" i="1" s="1"/>
  <c r="AB152" i="1" s="1" a="1"/>
  <c r="AB152" i="1" s="1"/>
  <c r="AR146" i="1"/>
  <c r="E150" i="1" s="1" a="1"/>
  <c r="E150" i="1" s="1"/>
  <c r="AP146" i="1"/>
  <c r="C150" i="1" s="1" a="1"/>
  <c r="C150" i="1" s="1"/>
  <c r="X146" i="1"/>
  <c r="G150" i="1" s="1" a="1"/>
  <c r="G150" i="1" s="1"/>
  <c r="AO146" i="1"/>
  <c r="B150" i="1" s="1" a="1"/>
  <c r="B150" i="1" s="1"/>
  <c r="AC152" i="1" l="1" a="1"/>
  <c r="AC152" i="1" s="1"/>
  <c r="AC153" i="1" a="1"/>
  <c r="AC153" i="1" s="1"/>
  <c r="AC151" i="1" a="1"/>
  <c r="AC151" i="1" s="1"/>
  <c r="L152" i="1" a="1"/>
  <c r="L152" i="1" s="1"/>
  <c r="N152" i="1" s="1"/>
  <c r="AD152" i="1" s="1"/>
  <c r="M153" i="1" a="1"/>
  <c r="M153" i="1" s="1"/>
  <c r="O153" i="1" s="1"/>
  <c r="AE153" i="1" s="1"/>
  <c r="AB151" i="1" a="1"/>
  <c r="AB151" i="1" s="1"/>
  <c r="AB150" i="1" a="1"/>
  <c r="AB150" i="1" s="1"/>
  <c r="AB153" i="1" a="1"/>
  <c r="AB153" i="1" s="1"/>
  <c r="L153" i="1" a="1"/>
  <c r="L153" i="1" s="1"/>
  <c r="N153" i="1" s="1"/>
  <c r="AD153" i="1" s="1"/>
  <c r="L150" i="1" a="1"/>
  <c r="L150" i="1" s="1"/>
  <c r="N150" i="1" s="1"/>
  <c r="V150" i="1" s="1"/>
  <c r="L151" i="1" a="1"/>
  <c r="L151" i="1" s="1"/>
  <c r="N151" i="1" s="1"/>
  <c r="V151" i="1" s="1"/>
  <c r="M152" i="1" a="1"/>
  <c r="M152" i="1" s="1"/>
  <c r="O152" i="1" s="1"/>
  <c r="W152" i="1" s="1"/>
  <c r="M151" i="1" a="1"/>
  <c r="M151" i="1" s="1"/>
  <c r="O151" i="1" s="1"/>
  <c r="W151" i="1" s="1"/>
  <c r="M150" i="1" a="1"/>
  <c r="M150" i="1" s="1"/>
  <c r="O150" i="1" s="1"/>
  <c r="AE150" i="1" s="1"/>
  <c r="V152" i="1"/>
  <c r="W153" i="1" l="1"/>
  <c r="P153" i="1" a="1"/>
  <c r="P153" i="1" s="1"/>
  <c r="Q153" i="1" s="1"/>
  <c r="R153" i="1" s="1"/>
  <c r="AE151" i="1"/>
  <c r="AD151" i="1"/>
  <c r="P151" i="1" a="1"/>
  <c r="P151" i="1" s="1"/>
  <c r="Q151" i="1" s="1"/>
  <c r="S151" i="1" s="1"/>
  <c r="AD150" i="1"/>
  <c r="V153" i="1"/>
  <c r="P150" i="1" a="1"/>
  <c r="P150" i="1" s="1"/>
  <c r="Q150" i="1" s="1"/>
  <c r="AA150" i="1" s="1"/>
  <c r="W150" i="1"/>
  <c r="P152" i="1" a="1"/>
  <c r="P152" i="1" s="1"/>
  <c r="Q152" i="1" s="1"/>
  <c r="AA152" i="1" s="1"/>
  <c r="AE152" i="1"/>
  <c r="S153" i="1" l="1"/>
  <c r="AA153" i="1"/>
  <c r="T153" i="1"/>
  <c r="S150" i="1"/>
  <c r="R150" i="1"/>
  <c r="T150" i="1"/>
  <c r="Z150" i="1" s="1"/>
  <c r="R151" i="1"/>
  <c r="AA151" i="1"/>
  <c r="T151" i="1"/>
  <c r="AQ151" i="1" s="1"/>
  <c r="AO151" i="1"/>
  <c r="X151" i="1"/>
  <c r="Z153" i="1"/>
  <c r="T152" i="1"/>
  <c r="S152" i="1"/>
  <c r="R152" i="1"/>
  <c r="Y153" i="1" l="1"/>
  <c r="AN153" i="1"/>
  <c r="AQ153" i="1"/>
  <c r="AP153" i="1"/>
  <c r="AO153" i="1"/>
  <c r="AR153" i="1"/>
  <c r="AS153" i="1"/>
  <c r="X153" i="1"/>
  <c r="AP151" i="1"/>
  <c r="Z151" i="1"/>
  <c r="AS151" i="1"/>
  <c r="R154" i="1"/>
  <c r="AR150" i="1"/>
  <c r="AN150" i="1"/>
  <c r="AO150" i="1"/>
  <c r="AP150" i="1"/>
  <c r="AS150" i="1"/>
  <c r="AR151" i="1"/>
  <c r="Y150" i="1"/>
  <c r="X150" i="1"/>
  <c r="AQ150" i="1"/>
  <c r="Y151" i="1"/>
  <c r="AN151" i="1"/>
  <c r="AO152" i="1"/>
  <c r="Y152" i="1"/>
  <c r="AN152" i="1"/>
  <c r="AS152" i="1"/>
  <c r="AR152" i="1"/>
  <c r="AQ152" i="1"/>
  <c r="AP152" i="1"/>
  <c r="X152" i="1"/>
  <c r="Z152" i="1"/>
  <c r="Z154" i="1" l="1"/>
  <c r="I158" i="1" s="1" a="1"/>
  <c r="I158" i="1" s="1"/>
  <c r="AC158" i="1" s="1" a="1"/>
  <c r="AC158" i="1" s="1"/>
  <c r="X154" i="1"/>
  <c r="G158" i="1" s="1" a="1"/>
  <c r="G158" i="1" s="1"/>
  <c r="AO154" i="1"/>
  <c r="B158" i="1" s="1" a="1"/>
  <c r="B158" i="1" s="1"/>
  <c r="AS154" i="1"/>
  <c r="F158" i="1" s="1" a="1"/>
  <c r="F158" i="1" s="1"/>
  <c r="AN154" i="1"/>
  <c r="A158" i="1" s="1" a="1"/>
  <c r="A158" i="1" s="1"/>
  <c r="AR154" i="1"/>
  <c r="E158" i="1" s="1" a="1"/>
  <c r="E158" i="1" s="1"/>
  <c r="Y154" i="1"/>
  <c r="H158" i="1" s="1" a="1"/>
  <c r="H158" i="1" s="1"/>
  <c r="AB159" i="1" s="1" a="1"/>
  <c r="AB159" i="1" s="1"/>
  <c r="AQ154" i="1"/>
  <c r="D158" i="1" s="1" a="1"/>
  <c r="D158" i="1" s="1"/>
  <c r="AP154" i="1"/>
  <c r="C158" i="1" s="1" a="1"/>
  <c r="C158" i="1" s="1"/>
  <c r="AC160" i="1" a="1"/>
  <c r="AC160" i="1" s="1"/>
  <c r="AC161" i="1" a="1"/>
  <c r="AC161" i="1" s="1"/>
  <c r="AC159" i="1" a="1"/>
  <c r="AC159" i="1" s="1"/>
  <c r="AB161" i="1" l="1" a="1"/>
  <c r="AB161" i="1" s="1"/>
  <c r="AB158" i="1" a="1"/>
  <c r="AB158" i="1" s="1"/>
  <c r="AB160" i="1" a="1"/>
  <c r="AB160" i="1" s="1"/>
  <c r="M161" i="1" a="1"/>
  <c r="M161" i="1" s="1"/>
  <c r="O161" i="1" s="1"/>
  <c r="AE161" i="1" s="1"/>
  <c r="L161" i="1" a="1"/>
  <c r="L161" i="1" s="1"/>
  <c r="N161" i="1" s="1"/>
  <c r="V161" i="1" s="1"/>
  <c r="M158" i="1" a="1"/>
  <c r="M158" i="1" s="1"/>
  <c r="O158" i="1" s="1"/>
  <c r="AE158" i="1" s="1"/>
  <c r="M160" i="1" a="1"/>
  <c r="M160" i="1" s="1"/>
  <c r="O160" i="1" s="1"/>
  <c r="AE160" i="1" s="1"/>
  <c r="M159" i="1" a="1"/>
  <c r="M159" i="1" s="1"/>
  <c r="O159" i="1" s="1"/>
  <c r="W159" i="1" s="1"/>
  <c r="L160" i="1" a="1"/>
  <c r="L160" i="1" s="1"/>
  <c r="N160" i="1" s="1"/>
  <c r="V160" i="1" s="1"/>
  <c r="L158" i="1" a="1"/>
  <c r="L158" i="1" s="1"/>
  <c r="N158" i="1" s="1"/>
  <c r="AD158" i="1" s="1"/>
  <c r="L159" i="1" a="1"/>
  <c r="L159" i="1" s="1"/>
  <c r="N159" i="1" s="1"/>
  <c r="AD159" i="1" s="1"/>
  <c r="AD160" i="1" l="1"/>
  <c r="AD161" i="1"/>
  <c r="AE159" i="1"/>
  <c r="P161" i="1" a="1"/>
  <c r="P161" i="1" s="1"/>
  <c r="Q161" i="1" s="1"/>
  <c r="T161" i="1" s="1"/>
  <c r="W161" i="1"/>
  <c r="W158" i="1"/>
  <c r="P159" i="1" a="1"/>
  <c r="P159" i="1" s="1"/>
  <c r="Q159" i="1" s="1"/>
  <c r="R159" i="1" s="1"/>
  <c r="V159" i="1"/>
  <c r="P160" i="1" a="1"/>
  <c r="P160" i="1" s="1"/>
  <c r="Q160" i="1" s="1"/>
  <c r="T160" i="1" s="1"/>
  <c r="W160" i="1"/>
  <c r="V158" i="1"/>
  <c r="P158" i="1" a="1"/>
  <c r="P158" i="1" s="1"/>
  <c r="Q158" i="1" s="1"/>
  <c r="AA161" i="1"/>
  <c r="R161" i="1"/>
  <c r="S161" i="1"/>
  <c r="AA160" i="1" l="1"/>
  <c r="R160" i="1"/>
  <c r="S160" i="1"/>
  <c r="AN160" i="1" s="1"/>
  <c r="S159" i="1"/>
  <c r="AA159" i="1"/>
  <c r="T159" i="1"/>
  <c r="R158" i="1"/>
  <c r="S158" i="1"/>
  <c r="T158" i="1"/>
  <c r="AA158" i="1"/>
  <c r="AP160" i="1"/>
  <c r="Y160" i="1"/>
  <c r="Z160" i="1"/>
  <c r="X160" i="1"/>
  <c r="AQ160" i="1"/>
  <c r="AR161" i="1"/>
  <c r="Y161" i="1"/>
  <c r="X161" i="1"/>
  <c r="AO161" i="1"/>
  <c r="AP161" i="1"/>
  <c r="Z161" i="1"/>
  <c r="AN161" i="1"/>
  <c r="AQ161" i="1"/>
  <c r="AS161" i="1"/>
  <c r="R162" i="1" l="1"/>
  <c r="AS160" i="1"/>
  <c r="AR160" i="1"/>
  <c r="AR159" i="1"/>
  <c r="AO160" i="1"/>
  <c r="AN159" i="1"/>
  <c r="AO159" i="1"/>
  <c r="Z159" i="1"/>
  <c r="AQ159" i="1"/>
  <c r="Y159" i="1"/>
  <c r="X159" i="1"/>
  <c r="AP159" i="1"/>
  <c r="AS159" i="1"/>
  <c r="AQ158" i="1"/>
  <c r="AQ162" i="1" s="1"/>
  <c r="D166" i="1" s="1" a="1"/>
  <c r="D166" i="1" s="1"/>
  <c r="Y158" i="1"/>
  <c r="Y162" i="1" s="1"/>
  <c r="H166" i="1" s="1" a="1"/>
  <c r="H166" i="1" s="1"/>
  <c r="AO158" i="1"/>
  <c r="AO162" i="1" s="1"/>
  <c r="B166" i="1" s="1" a="1"/>
  <c r="B166" i="1" s="1"/>
  <c r="AR158" i="1"/>
  <c r="Z158" i="1"/>
  <c r="AN158" i="1"/>
  <c r="X158" i="1"/>
  <c r="AP158" i="1"/>
  <c r="AS158" i="1"/>
  <c r="AR162" i="1" l="1"/>
  <c r="E166" i="1" s="1" a="1"/>
  <c r="E166" i="1" s="1"/>
  <c r="AN162" i="1"/>
  <c r="A166" i="1" s="1" a="1"/>
  <c r="A166" i="1" s="1"/>
  <c r="Z162" i="1"/>
  <c r="I166" i="1" s="1" a="1"/>
  <c r="I166" i="1" s="1"/>
  <c r="AC167" i="1" s="1" a="1"/>
  <c r="AC167" i="1" s="1"/>
  <c r="AP162" i="1"/>
  <c r="C166" i="1" s="1" a="1"/>
  <c r="C166" i="1" s="1"/>
  <c r="X162" i="1"/>
  <c r="G166" i="1" s="1" a="1"/>
  <c r="G166" i="1" s="1"/>
  <c r="AS162" i="1"/>
  <c r="F166" i="1" s="1" a="1"/>
  <c r="F166" i="1" s="1"/>
  <c r="AB166" i="1" a="1"/>
  <c r="AB166" i="1" s="1"/>
  <c r="AB169" i="1" a="1"/>
  <c r="AB169" i="1" s="1"/>
  <c r="AB167" i="1" a="1"/>
  <c r="AB167" i="1" s="1"/>
  <c r="AB168" i="1" a="1"/>
  <c r="AB168" i="1" s="1"/>
  <c r="AC166" i="1" a="1"/>
  <c r="AC166" i="1" s="1"/>
  <c r="AC168" i="1" a="1"/>
  <c r="AC168" i="1" s="1"/>
  <c r="M169" i="1" l="1" a="1"/>
  <c r="M169" i="1" s="1"/>
  <c r="O169" i="1" s="1"/>
  <c r="W169" i="1" s="1"/>
  <c r="M167" i="1" a="1"/>
  <c r="M167" i="1" s="1"/>
  <c r="O167" i="1" s="1"/>
  <c r="AE167" i="1" s="1"/>
  <c r="M166" i="1" a="1"/>
  <c r="M166" i="1" s="1"/>
  <c r="O166" i="1" s="1"/>
  <c r="AE166" i="1" s="1"/>
  <c r="L167" i="1" a="1"/>
  <c r="L167" i="1" s="1"/>
  <c r="N167" i="1" s="1"/>
  <c r="V167" i="1" s="1"/>
  <c r="L168" i="1" a="1"/>
  <c r="L168" i="1" s="1"/>
  <c r="N168" i="1" s="1"/>
  <c r="V168" i="1" s="1"/>
  <c r="L169" i="1" a="1"/>
  <c r="L169" i="1" s="1"/>
  <c r="N169" i="1" s="1"/>
  <c r="AC169" i="1" a="1"/>
  <c r="AC169" i="1" s="1"/>
  <c r="M168" i="1" a="1"/>
  <c r="M168" i="1" s="1"/>
  <c r="O168" i="1" s="1"/>
  <c r="W168" i="1" s="1"/>
  <c r="L166" i="1" a="1"/>
  <c r="L166" i="1" s="1"/>
  <c r="N166" i="1" s="1"/>
  <c r="V166" i="1" s="1"/>
  <c r="W167" i="1"/>
  <c r="P167" i="1" a="1"/>
  <c r="P167" i="1" s="1"/>
  <c r="Q167" i="1" s="1"/>
  <c r="R167" i="1" s="1"/>
  <c r="AD167" i="1"/>
  <c r="W166" i="1" l="1"/>
  <c r="AE169" i="1"/>
  <c r="P169" i="1" a="1"/>
  <c r="P169" i="1" s="1"/>
  <c r="Q169" i="1" s="1"/>
  <c r="T169" i="1" s="1"/>
  <c r="AD168" i="1"/>
  <c r="V169" i="1"/>
  <c r="AD169" i="1"/>
  <c r="AD166" i="1"/>
  <c r="AE168" i="1"/>
  <c r="P166" i="1" a="1"/>
  <c r="P166" i="1" s="1"/>
  <c r="Q166" i="1" s="1"/>
  <c r="R166" i="1" s="1"/>
  <c r="P168" i="1" a="1"/>
  <c r="P168" i="1" s="1"/>
  <c r="Q168" i="1" s="1"/>
  <c r="S168" i="1" s="1"/>
  <c r="AA167" i="1"/>
  <c r="T167" i="1"/>
  <c r="S167" i="1"/>
  <c r="S169" i="1" l="1"/>
  <c r="X169" i="1" s="1"/>
  <c r="R169" i="1"/>
  <c r="AA169" i="1"/>
  <c r="R168" i="1"/>
  <c r="T168" i="1"/>
  <c r="AQ168" i="1" s="1"/>
  <c r="AA168" i="1"/>
  <c r="AN167" i="1"/>
  <c r="S166" i="1"/>
  <c r="T166" i="1"/>
  <c r="AA166" i="1"/>
  <c r="AR167" i="1"/>
  <c r="AP167" i="1"/>
  <c r="AS167" i="1"/>
  <c r="AO167" i="1"/>
  <c r="AQ167" i="1"/>
  <c r="X167" i="1"/>
  <c r="Z167" i="1"/>
  <c r="Y167" i="1"/>
  <c r="Y169" i="1" l="1"/>
  <c r="AO169" i="1"/>
  <c r="Z169" i="1"/>
  <c r="AQ169" i="1"/>
  <c r="AR169" i="1"/>
  <c r="AN169" i="1"/>
  <c r="AS169" i="1"/>
  <c r="R170" i="1"/>
  <c r="AP169" i="1"/>
  <c r="AQ166" i="1"/>
  <c r="AQ170" i="1" s="1"/>
  <c r="D174" i="1" s="1" a="1"/>
  <c r="D174" i="1" s="1"/>
  <c r="AP166" i="1"/>
  <c r="AR168" i="1"/>
  <c r="X168" i="1"/>
  <c r="Z168" i="1"/>
  <c r="AS168" i="1"/>
  <c r="Y168" i="1"/>
  <c r="AP168" i="1"/>
  <c r="AO168" i="1"/>
  <c r="AN166" i="1"/>
  <c r="AN168" i="1"/>
  <c r="AR166" i="1"/>
  <c r="AS166" i="1"/>
  <c r="AO166" i="1"/>
  <c r="AO170" i="1" s="1"/>
  <c r="B174" i="1" s="1" a="1"/>
  <c r="B174" i="1" s="1"/>
  <c r="X166" i="1"/>
  <c r="Z166" i="1"/>
  <c r="Y166" i="1"/>
  <c r="AP170" i="1" l="1"/>
  <c r="C174" i="1" s="1" a="1"/>
  <c r="C174" i="1" s="1"/>
  <c r="Z170" i="1"/>
  <c r="I174" i="1" s="1" a="1"/>
  <c r="I174" i="1" s="1"/>
  <c r="AC177" i="1" s="1" a="1"/>
  <c r="AC177" i="1" s="1"/>
  <c r="AS170" i="1"/>
  <c r="F174" i="1" s="1" a="1"/>
  <c r="F174" i="1" s="1"/>
  <c r="AR170" i="1"/>
  <c r="E174" i="1" s="1" a="1"/>
  <c r="E174" i="1" s="1"/>
  <c r="Y170" i="1"/>
  <c r="H174" i="1" s="1" a="1"/>
  <c r="H174" i="1" s="1"/>
  <c r="AB177" i="1" s="1" a="1"/>
  <c r="AB177" i="1" s="1"/>
  <c r="X170" i="1"/>
  <c r="G174" i="1" s="1" a="1"/>
  <c r="G174" i="1" s="1"/>
  <c r="AN170" i="1"/>
  <c r="A174" i="1" s="1" a="1"/>
  <c r="A174" i="1" s="1"/>
  <c r="M174" i="1" a="1"/>
  <c r="M174" i="1" s="1"/>
  <c r="O174" i="1" s="1"/>
  <c r="W174" i="1" s="1"/>
  <c r="AC175" i="1" a="1"/>
  <c r="AC175" i="1" s="1"/>
  <c r="AC174" i="1" a="1"/>
  <c r="AC174" i="1" s="1"/>
  <c r="AC176" i="1" a="1"/>
  <c r="AC176" i="1" s="1"/>
  <c r="AB176" i="1" l="1" a="1"/>
  <c r="AB176" i="1" s="1"/>
  <c r="AB174" i="1" a="1"/>
  <c r="AB174" i="1" s="1"/>
  <c r="AB175" i="1" a="1"/>
  <c r="AB175" i="1" s="1"/>
  <c r="M176" i="1" a="1"/>
  <c r="M176" i="1" s="1"/>
  <c r="O176" i="1" s="1"/>
  <c r="L175" i="1" a="1"/>
  <c r="L175" i="1" s="1"/>
  <c r="N175" i="1" s="1"/>
  <c r="AD175" i="1" s="1"/>
  <c r="W176" i="1"/>
  <c r="AE176" i="1"/>
  <c r="M177" i="1" a="1"/>
  <c r="M177" i="1" s="1"/>
  <c r="O177" i="1" s="1"/>
  <c r="W177" i="1" s="1"/>
  <c r="M175" i="1" a="1"/>
  <c r="M175" i="1" s="1"/>
  <c r="O175" i="1" s="1"/>
  <c r="AE175" i="1" s="1"/>
  <c r="L177" i="1" a="1"/>
  <c r="L177" i="1" s="1"/>
  <c r="N177" i="1" s="1"/>
  <c r="AD177" i="1" s="1"/>
  <c r="L176" i="1" a="1"/>
  <c r="L176" i="1" s="1"/>
  <c r="N176" i="1" s="1"/>
  <c r="P176" i="1" s="1" a="1"/>
  <c r="P176" i="1" s="1"/>
  <c r="Q176" i="1" s="1"/>
  <c r="T176" i="1" s="1"/>
  <c r="L174" i="1" a="1"/>
  <c r="L174" i="1" s="1"/>
  <c r="N174" i="1" s="1"/>
  <c r="AE174" i="1"/>
  <c r="AE177" i="1"/>
  <c r="W175" i="1"/>
  <c r="P175" i="1" l="1" a="1"/>
  <c r="P175" i="1" s="1"/>
  <c r="Q175" i="1" s="1"/>
  <c r="S175" i="1" s="1"/>
  <c r="V175" i="1"/>
  <c r="V176" i="1"/>
  <c r="P177" i="1" a="1"/>
  <c r="P177" i="1" s="1"/>
  <c r="Q177" i="1" s="1"/>
  <c r="T177" i="1" s="1"/>
  <c r="V177" i="1"/>
  <c r="R176" i="1"/>
  <c r="AD176" i="1"/>
  <c r="AA176" i="1"/>
  <c r="S176" i="1"/>
  <c r="AS176" i="1"/>
  <c r="AN176" i="1"/>
  <c r="AD174" i="1"/>
  <c r="V174" i="1"/>
  <c r="P174" i="1" a="1"/>
  <c r="P174" i="1" s="1"/>
  <c r="Q174" i="1" s="1"/>
  <c r="R175" i="1" l="1"/>
  <c r="T175" i="1"/>
  <c r="AA175" i="1"/>
  <c r="R177" i="1"/>
  <c r="AA177" i="1"/>
  <c r="S177" i="1"/>
  <c r="AR177" i="1"/>
  <c r="X176" i="1"/>
  <c r="AP176" i="1"/>
  <c r="Z176" i="1"/>
  <c r="AQ176" i="1"/>
  <c r="AR176" i="1"/>
  <c r="AO176" i="1"/>
  <c r="Y176" i="1"/>
  <c r="Z177" i="1"/>
  <c r="AP177" i="1"/>
  <c r="Y177" i="1"/>
  <c r="S174" i="1"/>
  <c r="T174" i="1"/>
  <c r="AA174" i="1"/>
  <c r="R174" i="1"/>
  <c r="Y175" i="1"/>
  <c r="X175" i="1"/>
  <c r="AP175" i="1"/>
  <c r="AQ175" i="1"/>
  <c r="AS175" i="1"/>
  <c r="AO175" i="1"/>
  <c r="Z175" i="1"/>
  <c r="AN175" i="1"/>
  <c r="AR175" i="1"/>
  <c r="R178" i="1" l="1"/>
  <c r="X177" i="1"/>
  <c r="AS177" i="1"/>
  <c r="AN177" i="1"/>
  <c r="AQ177" i="1"/>
  <c r="AO177" i="1"/>
  <c r="Y174" i="1"/>
  <c r="Y178" i="1" s="1"/>
  <c r="H182" i="1" s="1" a="1"/>
  <c r="H182" i="1" s="1"/>
  <c r="AS174" i="1"/>
  <c r="AS178" i="1" s="1"/>
  <c r="F182" i="1" s="1" a="1"/>
  <c r="F182" i="1" s="1"/>
  <c r="AP174" i="1"/>
  <c r="AP178" i="1" s="1"/>
  <c r="C182" i="1" s="1" a="1"/>
  <c r="C182" i="1" s="1"/>
  <c r="AQ174" i="1"/>
  <c r="AQ178" i="1" s="1"/>
  <c r="D182" i="1" s="1" a="1"/>
  <c r="D182" i="1" s="1"/>
  <c r="AR174" i="1"/>
  <c r="AR178" i="1" s="1"/>
  <c r="E182" i="1" s="1" a="1"/>
  <c r="E182" i="1" s="1"/>
  <c r="Z174" i="1"/>
  <c r="Z178" i="1" s="1"/>
  <c r="I182" i="1" s="1" a="1"/>
  <c r="I182" i="1" s="1"/>
  <c r="X174" i="1"/>
  <c r="AN174" i="1"/>
  <c r="AN178" i="1" s="1"/>
  <c r="A182" i="1" s="1" a="1"/>
  <c r="A182" i="1" s="1"/>
  <c r="AO174" i="1"/>
  <c r="AO178" i="1" s="1"/>
  <c r="B182" i="1" s="1" a="1"/>
  <c r="B182" i="1" s="1"/>
  <c r="X178" i="1" l="1"/>
  <c r="G182" i="1" s="1" a="1"/>
  <c r="G182" i="1" s="1"/>
  <c r="L185" i="1" a="1"/>
  <c r="L185" i="1" s="1"/>
  <c r="N185" i="1" s="1"/>
  <c r="AD185" i="1" s="1"/>
  <c r="L182" i="1" a="1"/>
  <c r="L182" i="1" s="1"/>
  <c r="N182" i="1" s="1"/>
  <c r="V182" i="1" s="1"/>
  <c r="L184" i="1" a="1"/>
  <c r="L184" i="1" s="1"/>
  <c r="N184" i="1" s="1"/>
  <c r="V184" i="1" s="1"/>
  <c r="L183" i="1" a="1"/>
  <c r="L183" i="1" s="1"/>
  <c r="N183" i="1" s="1"/>
  <c r="V183" i="1" s="1"/>
  <c r="AC183" i="1" a="1"/>
  <c r="AC183" i="1" s="1"/>
  <c r="AC182" i="1" a="1"/>
  <c r="AC182" i="1" s="1"/>
  <c r="AC185" i="1" a="1"/>
  <c r="AC185" i="1" s="1"/>
  <c r="AC184" i="1" a="1"/>
  <c r="AC184" i="1" s="1"/>
  <c r="AB183" i="1" a="1"/>
  <c r="AB183" i="1" s="1"/>
  <c r="AB185" i="1" a="1"/>
  <c r="AB185" i="1" s="1"/>
  <c r="AB184" i="1" a="1"/>
  <c r="AB184" i="1" s="1"/>
  <c r="AB182" i="1" a="1"/>
  <c r="AB182" i="1" s="1"/>
  <c r="M182" i="1" a="1"/>
  <c r="M182" i="1" s="1"/>
  <c r="O182" i="1" s="1"/>
  <c r="M184" i="1" a="1"/>
  <c r="M184" i="1" s="1"/>
  <c r="O184" i="1" s="1"/>
  <c r="M185" i="1" a="1"/>
  <c r="M185" i="1" s="1"/>
  <c r="O185" i="1" s="1"/>
  <c r="W185" i="1" s="1"/>
  <c r="M183" i="1" a="1"/>
  <c r="M183" i="1" s="1"/>
  <c r="O183" i="1" s="1"/>
  <c r="V185" i="1" l="1"/>
  <c r="P182" i="1" a="1"/>
  <c r="P182" i="1" s="1"/>
  <c r="Q182" i="1" s="1"/>
  <c r="S182" i="1" s="1"/>
  <c r="AD182" i="1"/>
  <c r="AD184" i="1"/>
  <c r="W184" i="1"/>
  <c r="AE184" i="1"/>
  <c r="AE185" i="1"/>
  <c r="P185" i="1" a="1"/>
  <c r="P185" i="1" s="1"/>
  <c r="Q185" i="1" s="1"/>
  <c r="R185" i="1" s="1"/>
  <c r="AE182" i="1"/>
  <c r="W182" i="1"/>
  <c r="AE183" i="1"/>
  <c r="W183" i="1"/>
  <c r="P183" i="1" a="1"/>
  <c r="P183" i="1" s="1"/>
  <c r="Q183" i="1" s="1"/>
  <c r="AA183" i="1" s="1"/>
  <c r="P184" i="1" a="1"/>
  <c r="P184" i="1" s="1"/>
  <c r="Q184" i="1" s="1"/>
  <c r="AA184" i="1" s="1"/>
  <c r="AD183" i="1"/>
  <c r="T182" i="1" l="1"/>
  <c r="AP182" i="1" s="1"/>
  <c r="AA182" i="1"/>
  <c r="R182" i="1"/>
  <c r="S185" i="1"/>
  <c r="R184" i="1"/>
  <c r="T184" i="1"/>
  <c r="S184" i="1"/>
  <c r="Z184" i="1" s="1"/>
  <c r="S183" i="1"/>
  <c r="T183" i="1"/>
  <c r="R183" i="1"/>
  <c r="R186" i="1" s="1"/>
  <c r="T185" i="1"/>
  <c r="Y185" i="1" s="1"/>
  <c r="AA185" i="1"/>
  <c r="AP184" i="1"/>
  <c r="AQ184" i="1"/>
  <c r="AP185" i="1"/>
  <c r="Z185" i="1"/>
  <c r="AS182" i="1"/>
  <c r="AQ182" i="1"/>
  <c r="Y182" i="1"/>
  <c r="AO182" i="1"/>
  <c r="AN182" i="1" l="1"/>
  <c r="Z182" i="1"/>
  <c r="AR182" i="1"/>
  <c r="X182" i="1"/>
  <c r="AQ185" i="1"/>
  <c r="AR185" i="1"/>
  <c r="AO185" i="1"/>
  <c r="X185" i="1"/>
  <c r="AN183" i="1"/>
  <c r="AS185" i="1"/>
  <c r="AN185" i="1"/>
  <c r="AO184" i="1"/>
  <c r="AO183" i="1"/>
  <c r="Y183" i="1"/>
  <c r="Z183" i="1"/>
  <c r="Z186" i="1" s="1"/>
  <c r="I190" i="1" s="1" a="1"/>
  <c r="I190" i="1" s="1"/>
  <c r="AC190" i="1" s="1" a="1"/>
  <c r="AC190" i="1" s="1"/>
  <c r="X183" i="1"/>
  <c r="AP183" i="1"/>
  <c r="AP186" i="1" s="1"/>
  <c r="C190" i="1" s="1" a="1"/>
  <c r="C190" i="1" s="1"/>
  <c r="AQ183" i="1"/>
  <c r="AR183" i="1"/>
  <c r="AS184" i="1"/>
  <c r="AS183" i="1"/>
  <c r="X184" i="1"/>
  <c r="Y184" i="1"/>
  <c r="AN184" i="1"/>
  <c r="AR184" i="1"/>
  <c r="AQ186" i="1" l="1"/>
  <c r="D190" i="1" s="1" a="1"/>
  <c r="D190" i="1" s="1"/>
  <c r="AS186" i="1"/>
  <c r="F190" i="1" s="1" a="1"/>
  <c r="F190" i="1" s="1"/>
  <c r="X186" i="1"/>
  <c r="G190" i="1" s="1" a="1"/>
  <c r="G190" i="1" s="1"/>
  <c r="AO186" i="1"/>
  <c r="B190" i="1" s="1" a="1"/>
  <c r="B190" i="1" s="1"/>
  <c r="AN186" i="1"/>
  <c r="A190" i="1" s="1" a="1"/>
  <c r="A190" i="1" s="1"/>
  <c r="AR186" i="1"/>
  <c r="E190" i="1" s="1" a="1"/>
  <c r="E190" i="1" s="1"/>
  <c r="Y186" i="1"/>
  <c r="H190" i="1" s="1" a="1"/>
  <c r="H190" i="1" s="1"/>
  <c r="AB190" i="1" s="1" a="1"/>
  <c r="AB190" i="1" s="1"/>
  <c r="AC193" i="1" a="1"/>
  <c r="AC193" i="1" s="1"/>
  <c r="AC191" i="1" a="1"/>
  <c r="AC191" i="1" s="1"/>
  <c r="AC192" i="1" a="1"/>
  <c r="AC192" i="1" s="1"/>
  <c r="L193" i="1" a="1"/>
  <c r="L193" i="1" s="1"/>
  <c r="N193" i="1" s="1"/>
  <c r="L192" i="1" a="1"/>
  <c r="L192" i="1" s="1"/>
  <c r="N192" i="1" s="1"/>
  <c r="L191" i="1" a="1"/>
  <c r="L191" i="1" s="1"/>
  <c r="N191" i="1" s="1"/>
  <c r="L190" i="1" a="1"/>
  <c r="L190" i="1" s="1"/>
  <c r="N190" i="1" s="1"/>
  <c r="M192" i="1" a="1"/>
  <c r="M192" i="1" s="1"/>
  <c r="O192" i="1" s="1"/>
  <c r="P192" i="1" s="1" a="1"/>
  <c r="P192" i="1" s="1"/>
  <c r="Q192" i="1" s="1"/>
  <c r="T192" i="1" s="1"/>
  <c r="AB192" i="1" a="1"/>
  <c r="AB192" i="1" s="1"/>
  <c r="M191" i="1" l="1" a="1"/>
  <c r="M191" i="1" s="1"/>
  <c r="O191" i="1" s="1"/>
  <c r="M190" i="1" a="1"/>
  <c r="M190" i="1" s="1"/>
  <c r="O190" i="1" s="1"/>
  <c r="AB191" i="1" a="1"/>
  <c r="AB191" i="1" s="1"/>
  <c r="M193" i="1" a="1"/>
  <c r="M193" i="1" s="1"/>
  <c r="O193" i="1" s="1"/>
  <c r="W193" i="1" s="1"/>
  <c r="AB193" i="1" a="1"/>
  <c r="AB193" i="1" s="1"/>
  <c r="S192" i="1"/>
  <c r="V190" i="1"/>
  <c r="AD190" i="1"/>
  <c r="P190" i="1" a="1"/>
  <c r="P190" i="1" s="1"/>
  <c r="Q190" i="1" s="1"/>
  <c r="AD192" i="1"/>
  <c r="V192" i="1"/>
  <c r="AA192" i="1"/>
  <c r="V191" i="1"/>
  <c r="AD191" i="1"/>
  <c r="AE190" i="1"/>
  <c r="W190" i="1"/>
  <c r="R192" i="1"/>
  <c r="W191" i="1"/>
  <c r="AE191" i="1"/>
  <c r="AE192" i="1"/>
  <c r="W192" i="1"/>
  <c r="AD193" i="1"/>
  <c r="V193" i="1"/>
  <c r="P191" i="1" a="1"/>
  <c r="P191" i="1" s="1"/>
  <c r="Q191" i="1" s="1"/>
  <c r="P193" i="1" a="1"/>
  <c r="P193" i="1" s="1"/>
  <c r="Q193" i="1" s="1"/>
  <c r="AE193" i="1" l="1"/>
  <c r="AO192" i="1"/>
  <c r="Z192" i="1"/>
  <c r="AQ192" i="1"/>
  <c r="AP192" i="1"/>
  <c r="X192" i="1"/>
  <c r="AN192" i="1"/>
  <c r="Y192" i="1"/>
  <c r="AA190" i="1"/>
  <c r="T190" i="1"/>
  <c r="R190" i="1"/>
  <c r="S190" i="1"/>
  <c r="R191" i="1"/>
  <c r="S191" i="1"/>
  <c r="AA191" i="1"/>
  <c r="T191" i="1"/>
  <c r="AR192" i="1"/>
  <c r="S193" i="1"/>
  <c r="T193" i="1"/>
  <c r="AA193" i="1"/>
  <c r="R193" i="1"/>
  <c r="AS192" i="1"/>
  <c r="AQ191" i="1" l="1"/>
  <c r="AO191" i="1"/>
  <c r="Y191" i="1"/>
  <c r="Z191" i="1"/>
  <c r="AP191" i="1"/>
  <c r="AS191" i="1"/>
  <c r="AR191" i="1"/>
  <c r="X191" i="1"/>
  <c r="AN191" i="1"/>
  <c r="R194" i="1"/>
  <c r="AR193" i="1"/>
  <c r="AP193" i="1"/>
  <c r="AS193" i="1"/>
  <c r="X193" i="1"/>
  <c r="Z193" i="1"/>
  <c r="Y193" i="1"/>
  <c r="AO193" i="1"/>
  <c r="AN193" i="1"/>
  <c r="AQ193" i="1"/>
  <c r="Z190" i="1"/>
  <c r="AS190" i="1"/>
  <c r="AO190" i="1"/>
  <c r="AN190" i="1"/>
  <c r="AQ190" i="1"/>
  <c r="Y190" i="1"/>
  <c r="AR190" i="1"/>
  <c r="X190" i="1"/>
  <c r="AP190" i="1"/>
  <c r="AP194" i="1" s="1"/>
  <c r="C198" i="1" s="1" a="1"/>
  <c r="C198" i="1" s="1"/>
  <c r="AO194" i="1" l="1"/>
  <c r="B198" i="1" s="1" a="1"/>
  <c r="B198" i="1" s="1"/>
  <c r="AQ194" i="1"/>
  <c r="D198" i="1" s="1" a="1"/>
  <c r="D198" i="1" s="1"/>
  <c r="X194" i="1"/>
  <c r="G198" i="1" s="1" a="1"/>
  <c r="G198" i="1" s="1"/>
  <c r="AR194" i="1"/>
  <c r="E198" i="1" s="1" a="1"/>
  <c r="E198" i="1" s="1"/>
  <c r="Y194" i="1"/>
  <c r="H198" i="1" s="1" a="1"/>
  <c r="H198" i="1" s="1"/>
  <c r="AN194" i="1"/>
  <c r="A198" i="1" s="1" a="1"/>
  <c r="A198" i="1" s="1"/>
  <c r="AS194" i="1"/>
  <c r="F198" i="1" s="1" a="1"/>
  <c r="F198" i="1" s="1"/>
  <c r="Z194" i="1"/>
  <c r="I198" i="1" s="1" a="1"/>
  <c r="I198" i="1" s="1"/>
  <c r="L200" i="1" l="1" a="1"/>
  <c r="L200" i="1" s="1"/>
  <c r="N200" i="1" s="1"/>
  <c r="V200" i="1" s="1"/>
  <c r="L201" i="1" a="1"/>
  <c r="L201" i="1" s="1"/>
  <c r="N201" i="1" s="1"/>
  <c r="V201" i="1" s="1"/>
  <c r="L198" i="1" a="1"/>
  <c r="L198" i="1" s="1"/>
  <c r="N198" i="1" s="1"/>
  <c r="AD198" i="1" s="1"/>
  <c r="L199" i="1" a="1"/>
  <c r="L199" i="1" s="1"/>
  <c r="N199" i="1" s="1"/>
  <c r="AD199" i="1" s="1"/>
  <c r="M198" i="1" a="1"/>
  <c r="M198" i="1" s="1"/>
  <c r="O198" i="1" s="1"/>
  <c r="M200" i="1" a="1"/>
  <c r="M200" i="1" s="1"/>
  <c r="O200" i="1" s="1"/>
  <c r="M201" i="1" a="1"/>
  <c r="M201" i="1" s="1"/>
  <c r="O201" i="1" s="1"/>
  <c r="M199" i="1" a="1"/>
  <c r="M199" i="1" s="1"/>
  <c r="O199" i="1" s="1"/>
  <c r="AC198" i="1" a="1"/>
  <c r="AC198" i="1" s="1"/>
  <c r="AC199" i="1" a="1"/>
  <c r="AC199" i="1" s="1"/>
  <c r="AC200" i="1" a="1"/>
  <c r="AC200" i="1" s="1"/>
  <c r="AC201" i="1" a="1"/>
  <c r="AC201" i="1" s="1"/>
  <c r="AB200" i="1" a="1"/>
  <c r="AB200" i="1" s="1"/>
  <c r="AB201" i="1" a="1"/>
  <c r="AB201" i="1" s="1"/>
  <c r="AB199" i="1" a="1"/>
  <c r="AB199" i="1" s="1"/>
  <c r="AB198" i="1" a="1"/>
  <c r="AB198" i="1" s="1"/>
  <c r="V199" i="1" l="1"/>
  <c r="AD200" i="1"/>
  <c r="AD201" i="1"/>
  <c r="V198" i="1"/>
  <c r="W201" i="1"/>
  <c r="AE201" i="1"/>
  <c r="W200" i="1"/>
  <c r="AE200" i="1"/>
  <c r="P200" i="1" a="1"/>
  <c r="P200" i="1" s="1"/>
  <c r="Q200" i="1" s="1"/>
  <c r="P199" i="1" a="1"/>
  <c r="P199" i="1" s="1"/>
  <c r="Q199" i="1" s="1"/>
  <c r="AE199" i="1"/>
  <c r="W199" i="1"/>
  <c r="AE198" i="1"/>
  <c r="W198" i="1"/>
  <c r="P201" i="1" a="1"/>
  <c r="P201" i="1" s="1"/>
  <c r="Q201" i="1" s="1"/>
  <c r="P198" i="1" a="1"/>
  <c r="P198" i="1" s="1"/>
  <c r="Q198" i="1" s="1"/>
  <c r="T201" i="1" l="1"/>
  <c r="S201" i="1"/>
  <c r="R201" i="1"/>
  <c r="AA201" i="1"/>
  <c r="T200" i="1"/>
  <c r="R200" i="1"/>
  <c r="S200" i="1"/>
  <c r="AA200" i="1"/>
  <c r="AA198" i="1"/>
  <c r="R198" i="1"/>
  <c r="T198" i="1"/>
  <c r="S198" i="1"/>
  <c r="AA199" i="1"/>
  <c r="R199" i="1"/>
  <c r="S199" i="1"/>
  <c r="T199" i="1"/>
  <c r="AS198" i="1" l="1"/>
  <c r="AQ198" i="1"/>
  <c r="Z198" i="1"/>
  <c r="AO198" i="1"/>
  <c r="AR198" i="1"/>
  <c r="Y198" i="1"/>
  <c r="AN198" i="1"/>
  <c r="X198" i="1"/>
  <c r="AP198" i="1"/>
  <c r="AP201" i="1"/>
  <c r="AQ201" i="1"/>
  <c r="Z201" i="1"/>
  <c r="X201" i="1"/>
  <c r="Y201" i="1"/>
  <c r="AO201" i="1"/>
  <c r="AS201" i="1"/>
  <c r="AN201" i="1"/>
  <c r="AR201" i="1"/>
  <c r="X199" i="1"/>
  <c r="Z199" i="1"/>
  <c r="AN199" i="1"/>
  <c r="AS199" i="1"/>
  <c r="AR199" i="1"/>
  <c r="AQ199" i="1"/>
  <c r="Y199" i="1"/>
  <c r="AP199" i="1"/>
  <c r="AO199" i="1"/>
  <c r="R202" i="1"/>
  <c r="AN200" i="1"/>
  <c r="Z200" i="1"/>
  <c r="AP200" i="1"/>
  <c r="AS200" i="1"/>
  <c r="AO200" i="1"/>
  <c r="AR200" i="1"/>
  <c r="Y200" i="1"/>
  <c r="AQ200" i="1"/>
  <c r="X200" i="1"/>
  <c r="Z202" i="1" l="1"/>
  <c r="I206" i="1" s="1" a="1"/>
  <c r="I206" i="1" s="1"/>
  <c r="AN202" i="1"/>
  <c r="A206" i="1" s="1" a="1"/>
  <c r="A206" i="1" s="1"/>
  <c r="AR202" i="1"/>
  <c r="E206" i="1" s="1" a="1"/>
  <c r="E206" i="1" s="1"/>
  <c r="AQ202" i="1"/>
  <c r="D206" i="1" s="1" a="1"/>
  <c r="D206" i="1" s="1"/>
  <c r="AP202" i="1"/>
  <c r="C206" i="1" s="1" a="1"/>
  <c r="C206" i="1" s="1"/>
  <c r="X202" i="1"/>
  <c r="G206" i="1" s="1" a="1"/>
  <c r="G206" i="1" s="1"/>
  <c r="Y202" i="1"/>
  <c r="H206" i="1" s="1" a="1"/>
  <c r="H206" i="1" s="1"/>
  <c r="AO202" i="1"/>
  <c r="B206" i="1" s="1" a="1"/>
  <c r="B206" i="1" s="1"/>
  <c r="AS202" i="1"/>
  <c r="F206" i="1" s="1" a="1"/>
  <c r="F206" i="1" s="1"/>
  <c r="L208" i="1" l="1" a="1"/>
  <c r="L208" i="1" s="1"/>
  <c r="N208" i="1" s="1"/>
  <c r="L207" i="1" a="1"/>
  <c r="L207" i="1" s="1"/>
  <c r="N207" i="1" s="1"/>
  <c r="L206" i="1" a="1"/>
  <c r="L206" i="1" s="1"/>
  <c r="N206" i="1" s="1"/>
  <c r="L209" i="1" a="1"/>
  <c r="L209" i="1" s="1"/>
  <c r="N209" i="1" s="1"/>
  <c r="M207" i="1" a="1"/>
  <c r="M207" i="1" s="1"/>
  <c r="O207" i="1" s="1"/>
  <c r="M209" i="1" a="1"/>
  <c r="M209" i="1" s="1"/>
  <c r="O209" i="1" s="1"/>
  <c r="M208" i="1" a="1"/>
  <c r="M208" i="1" s="1"/>
  <c r="O208" i="1" s="1"/>
  <c r="M206" i="1" a="1"/>
  <c r="M206" i="1" s="1"/>
  <c r="O206" i="1" s="1"/>
  <c r="AB206" i="1" a="1"/>
  <c r="AB206" i="1" s="1"/>
  <c r="AB209" i="1" a="1"/>
  <c r="AB209" i="1" s="1"/>
  <c r="AB208" i="1" a="1"/>
  <c r="AB208" i="1" s="1"/>
  <c r="AB207" i="1" a="1"/>
  <c r="AB207" i="1" s="1"/>
  <c r="AC206" i="1" a="1"/>
  <c r="AC206" i="1" s="1"/>
  <c r="AC207" i="1" a="1"/>
  <c r="AC207" i="1" s="1"/>
  <c r="AC209" i="1" a="1"/>
  <c r="AC209" i="1" s="1"/>
  <c r="AC208" i="1" a="1"/>
  <c r="AC208" i="1" s="1"/>
  <c r="W209" i="1" l="1"/>
  <c r="AE209" i="1"/>
  <c r="P206" i="1" a="1"/>
  <c r="P206" i="1" s="1"/>
  <c r="Q206" i="1" s="1"/>
  <c r="AD206" i="1"/>
  <c r="V206" i="1"/>
  <c r="W206" i="1"/>
  <c r="AE206" i="1"/>
  <c r="AE207" i="1"/>
  <c r="W207" i="1"/>
  <c r="P207" i="1" a="1"/>
  <c r="P207" i="1" s="1"/>
  <c r="Q207" i="1" s="1"/>
  <c r="V207" i="1"/>
  <c r="AD207" i="1"/>
  <c r="W208" i="1"/>
  <c r="AE208" i="1"/>
  <c r="V209" i="1"/>
  <c r="P209" i="1" a="1"/>
  <c r="P209" i="1" s="1"/>
  <c r="Q209" i="1" s="1"/>
  <c r="AD209" i="1"/>
  <c r="P208" i="1" a="1"/>
  <c r="P208" i="1" s="1"/>
  <c r="Q208" i="1" s="1"/>
  <c r="V208" i="1"/>
  <c r="AD208" i="1"/>
  <c r="AA209" i="1" l="1"/>
  <c r="S209" i="1"/>
  <c r="R209" i="1"/>
  <c r="T209" i="1"/>
  <c r="T208" i="1"/>
  <c r="S208" i="1"/>
  <c r="AA208" i="1"/>
  <c r="R208" i="1"/>
  <c r="S207" i="1"/>
  <c r="T207" i="1"/>
  <c r="AA207" i="1"/>
  <c r="R207" i="1"/>
  <c r="AA206" i="1"/>
  <c r="R206" i="1"/>
  <c r="R210" i="1" s="1"/>
  <c r="S206" i="1"/>
  <c r="T206" i="1"/>
  <c r="X206" i="1" s="1"/>
  <c r="AQ207" i="1" l="1"/>
  <c r="Y207" i="1"/>
  <c r="AP207" i="1"/>
  <c r="X207" i="1"/>
  <c r="AO207" i="1"/>
  <c r="AS207" i="1"/>
  <c r="AN207" i="1"/>
  <c r="Z207" i="1"/>
  <c r="AR207" i="1"/>
  <c r="AR208" i="1"/>
  <c r="AO208" i="1"/>
  <c r="Y208" i="1"/>
  <c r="AN208" i="1"/>
  <c r="AQ208" i="1"/>
  <c r="AS208" i="1"/>
  <c r="X208" i="1"/>
  <c r="Z208" i="1"/>
  <c r="AP208" i="1"/>
  <c r="AS206" i="1"/>
  <c r="AR206" i="1"/>
  <c r="Z206" i="1"/>
  <c r="AQ206" i="1"/>
  <c r="AO206" i="1"/>
  <c r="Y206" i="1"/>
  <c r="AN206" i="1"/>
  <c r="AP206" i="1"/>
  <c r="AP210" i="1" s="1"/>
  <c r="C214" i="1" s="1" a="1"/>
  <c r="C214" i="1" s="1"/>
  <c r="Z209" i="1"/>
  <c r="X209" i="1"/>
  <c r="AN209" i="1"/>
  <c r="AS209" i="1"/>
  <c r="AQ209" i="1"/>
  <c r="Y209" i="1"/>
  <c r="Y210" i="1" s="1"/>
  <c r="H214" i="1" s="1" a="1"/>
  <c r="H214" i="1" s="1"/>
  <c r="AR209" i="1"/>
  <c r="AP209" i="1"/>
  <c r="AO209" i="1"/>
  <c r="AQ210" i="1" l="1"/>
  <c r="D214" i="1" s="1" a="1"/>
  <c r="D214" i="1" s="1"/>
  <c r="AN210" i="1"/>
  <c r="A214" i="1" s="1" a="1"/>
  <c r="A214" i="1" s="1"/>
  <c r="Z210" i="1"/>
  <c r="I214" i="1" s="1" a="1"/>
  <c r="I214" i="1" s="1"/>
  <c r="AC216" i="1" s="1" a="1"/>
  <c r="AC216" i="1" s="1"/>
  <c r="AB215" i="1" a="1"/>
  <c r="AB215" i="1" s="1"/>
  <c r="AB214" i="1" a="1"/>
  <c r="AB214" i="1" s="1"/>
  <c r="AB217" i="1" a="1"/>
  <c r="AB217" i="1" s="1"/>
  <c r="AB216" i="1" a="1"/>
  <c r="AB216" i="1" s="1"/>
  <c r="X210" i="1"/>
  <c r="G214" i="1" s="1" a="1"/>
  <c r="G214" i="1" s="1"/>
  <c r="AS210" i="1"/>
  <c r="F214" i="1" s="1" a="1"/>
  <c r="F214" i="1" s="1"/>
  <c r="AR210" i="1"/>
  <c r="E214" i="1" s="1" a="1"/>
  <c r="E214" i="1" s="1"/>
  <c r="AO210" i="1"/>
  <c r="B214" i="1" s="1" a="1"/>
  <c r="B214" i="1" s="1"/>
  <c r="AC217" i="1" l="1" a="1"/>
  <c r="AC217" i="1" s="1"/>
  <c r="AC214" i="1" a="1"/>
  <c r="AC214" i="1" s="1"/>
  <c r="AC215" i="1" a="1"/>
  <c r="AC215" i="1" s="1"/>
  <c r="M215" i="1" a="1"/>
  <c r="M215" i="1" s="1"/>
  <c r="O215" i="1" s="1"/>
  <c r="M216" i="1" a="1"/>
  <c r="M216" i="1" s="1"/>
  <c r="O216" i="1" s="1"/>
  <c r="M214" i="1" a="1"/>
  <c r="M214" i="1" s="1"/>
  <c r="O214" i="1" s="1"/>
  <c r="M217" i="1" a="1"/>
  <c r="M217" i="1" s="1"/>
  <c r="O217" i="1" s="1"/>
  <c r="L214" i="1" a="1"/>
  <c r="L214" i="1" s="1"/>
  <c r="N214" i="1" s="1"/>
  <c r="L215" i="1" a="1"/>
  <c r="L215" i="1" s="1"/>
  <c r="N215" i="1" s="1"/>
  <c r="L216" i="1" a="1"/>
  <c r="L216" i="1" s="1"/>
  <c r="N216" i="1" s="1"/>
  <c r="L217" i="1" a="1"/>
  <c r="L217" i="1" s="1"/>
  <c r="N217" i="1" s="1"/>
  <c r="V215" i="1" l="1"/>
  <c r="AD215" i="1"/>
  <c r="P215" i="1" a="1"/>
  <c r="P215" i="1" s="1"/>
  <c r="Q215" i="1" s="1"/>
  <c r="W214" i="1"/>
  <c r="AE214" i="1"/>
  <c r="V217" i="1"/>
  <c r="AD217" i="1"/>
  <c r="P217" i="1" a="1"/>
  <c r="P217" i="1" s="1"/>
  <c r="Q217" i="1" s="1"/>
  <c r="AD214" i="1"/>
  <c r="V214" i="1"/>
  <c r="P214" i="1" a="1"/>
  <c r="P214" i="1" s="1"/>
  <c r="Q214" i="1" s="1"/>
  <c r="W216" i="1"/>
  <c r="AE216" i="1"/>
  <c r="AD216" i="1"/>
  <c r="V216" i="1"/>
  <c r="P216" i="1" a="1"/>
  <c r="P216" i="1" s="1"/>
  <c r="Q216" i="1" s="1"/>
  <c r="W217" i="1"/>
  <c r="AE217" i="1"/>
  <c r="W215" i="1"/>
  <c r="AE215" i="1"/>
  <c r="AA216" i="1" l="1"/>
  <c r="S216" i="1"/>
  <c r="T216" i="1"/>
  <c r="AO216" i="1" s="1"/>
  <c r="R216" i="1"/>
  <c r="T217" i="1"/>
  <c r="AA217" i="1"/>
  <c r="S217" i="1"/>
  <c r="R217" i="1"/>
  <c r="R214" i="1"/>
  <c r="T214" i="1"/>
  <c r="AA214" i="1"/>
  <c r="S214" i="1"/>
  <c r="R215" i="1"/>
  <c r="T215" i="1"/>
  <c r="AA215" i="1"/>
  <c r="S215" i="1"/>
  <c r="AS217" i="1" l="1"/>
  <c r="Z217" i="1"/>
  <c r="AN217" i="1"/>
  <c r="AR217" i="1"/>
  <c r="X217" i="1"/>
  <c r="AP217" i="1"/>
  <c r="AO217" i="1"/>
  <c r="Y217" i="1"/>
  <c r="AQ217" i="1"/>
  <c r="AQ215" i="1"/>
  <c r="Y215" i="1"/>
  <c r="AO215" i="1"/>
  <c r="Z215" i="1"/>
  <c r="AS215" i="1"/>
  <c r="X215" i="1"/>
  <c r="AN215" i="1"/>
  <c r="AR215" i="1"/>
  <c r="AP215" i="1"/>
  <c r="R218" i="1"/>
  <c r="Z216" i="1"/>
  <c r="AQ216" i="1"/>
  <c r="X216" i="1"/>
  <c r="AN216" i="1"/>
  <c r="Y216" i="1"/>
  <c r="AS216" i="1"/>
  <c r="AP216" i="1"/>
  <c r="AR216" i="1"/>
  <c r="AS214" i="1"/>
  <c r="AR214" i="1"/>
  <c r="Y214" i="1"/>
  <c r="Y218" i="1" s="1"/>
  <c r="H222" i="1" s="1" a="1"/>
  <c r="H222" i="1" s="1"/>
  <c r="Z214" i="1"/>
  <c r="Z218" i="1" s="1"/>
  <c r="I222" i="1" s="1" a="1"/>
  <c r="I222" i="1" s="1"/>
  <c r="AQ214" i="1"/>
  <c r="AQ218" i="1" s="1"/>
  <c r="D222" i="1" s="1" a="1"/>
  <c r="D222" i="1" s="1"/>
  <c r="AP214" i="1"/>
  <c r="AO214" i="1"/>
  <c r="AN214" i="1"/>
  <c r="X214" i="1"/>
  <c r="AR218" i="1" l="1"/>
  <c r="E222" i="1" s="1" a="1"/>
  <c r="E222" i="1" s="1"/>
  <c r="AC225" i="1" a="1"/>
  <c r="AC225" i="1" s="1"/>
  <c r="AC222" i="1" a="1"/>
  <c r="AC222" i="1" s="1"/>
  <c r="AC224" i="1" a="1"/>
  <c r="AC224" i="1" s="1"/>
  <c r="AC223" i="1" a="1"/>
  <c r="AC223" i="1" s="1"/>
  <c r="X218" i="1"/>
  <c r="G222" i="1" s="1" a="1"/>
  <c r="G222" i="1" s="1"/>
  <c r="AO218" i="1"/>
  <c r="B222" i="1" s="1" a="1"/>
  <c r="B222" i="1" s="1"/>
  <c r="AB222" i="1" a="1"/>
  <c r="AB222" i="1" s="1"/>
  <c r="AB223" i="1" a="1"/>
  <c r="AB223" i="1" s="1"/>
  <c r="AB224" i="1" a="1"/>
  <c r="AB224" i="1" s="1"/>
  <c r="AB225" i="1" a="1"/>
  <c r="AB225" i="1" s="1"/>
  <c r="AS218" i="1"/>
  <c r="F222" i="1" s="1" a="1"/>
  <c r="F222" i="1" s="1"/>
  <c r="M225" i="1" s="1" a="1"/>
  <c r="M225" i="1" s="1"/>
  <c r="O225" i="1" s="1"/>
  <c r="AN218" i="1"/>
  <c r="A222" i="1" s="1" a="1"/>
  <c r="A222" i="1" s="1"/>
  <c r="AP218" i="1"/>
  <c r="C222" i="1" s="1" a="1"/>
  <c r="C222" i="1" s="1"/>
  <c r="AE225" i="1" l="1"/>
  <c r="W225" i="1"/>
  <c r="M222" i="1" a="1"/>
  <c r="M222" i="1" s="1"/>
  <c r="O222" i="1" s="1"/>
  <c r="L224" i="1" a="1"/>
  <c r="L224" i="1" s="1"/>
  <c r="N224" i="1" s="1"/>
  <c r="L225" i="1" a="1"/>
  <c r="L225" i="1" s="1"/>
  <c r="N225" i="1" s="1"/>
  <c r="L222" i="1" a="1"/>
  <c r="L222" i="1" s="1"/>
  <c r="N222" i="1" s="1"/>
  <c r="L223" i="1" a="1"/>
  <c r="L223" i="1" s="1"/>
  <c r="N223" i="1" s="1"/>
  <c r="M223" i="1" a="1"/>
  <c r="M223" i="1" s="1"/>
  <c r="O223" i="1" s="1"/>
  <c r="M224" i="1" a="1"/>
  <c r="M224" i="1" s="1"/>
  <c r="O224" i="1" s="1"/>
  <c r="AE223" i="1" l="1"/>
  <c r="W223" i="1"/>
  <c r="P225" i="1" a="1"/>
  <c r="P225" i="1" s="1"/>
  <c r="Q225" i="1" s="1"/>
  <c r="AD225" i="1"/>
  <c r="V225" i="1"/>
  <c r="V223" i="1"/>
  <c r="AD223" i="1"/>
  <c r="P223" i="1" a="1"/>
  <c r="P223" i="1" s="1"/>
  <c r="Q223" i="1" s="1"/>
  <c r="P224" i="1" a="1"/>
  <c r="P224" i="1" s="1"/>
  <c r="Q224" i="1" s="1"/>
  <c r="V224" i="1"/>
  <c r="AD224" i="1"/>
  <c r="W224" i="1"/>
  <c r="AE224" i="1"/>
  <c r="P222" i="1" a="1"/>
  <c r="P222" i="1" s="1"/>
  <c r="Q222" i="1" s="1"/>
  <c r="V222" i="1"/>
  <c r="AD222" i="1"/>
  <c r="W222" i="1"/>
  <c r="AE222" i="1"/>
  <c r="S222" i="1" l="1"/>
  <c r="AA222" i="1"/>
  <c r="T222" i="1"/>
  <c r="R222" i="1"/>
  <c r="T223" i="1"/>
  <c r="AA223" i="1"/>
  <c r="S223" i="1"/>
  <c r="R223" i="1"/>
  <c r="T224" i="1"/>
  <c r="S224" i="1"/>
  <c r="AA224" i="1"/>
  <c r="R224" i="1"/>
  <c r="S225" i="1"/>
  <c r="R225" i="1"/>
  <c r="AA225" i="1"/>
  <c r="T225" i="1"/>
  <c r="AS224" i="1" l="1"/>
  <c r="Z224" i="1"/>
  <c r="X224" i="1"/>
  <c r="AN224" i="1"/>
  <c r="AQ224" i="1"/>
  <c r="Y224" i="1"/>
  <c r="AP224" i="1"/>
  <c r="AR224" i="1"/>
  <c r="AO224" i="1"/>
  <c r="AP223" i="1"/>
  <c r="X223" i="1"/>
  <c r="AO223" i="1"/>
  <c r="AR223" i="1"/>
  <c r="AN223" i="1"/>
  <c r="AS223" i="1"/>
  <c r="Z223" i="1"/>
  <c r="AQ223" i="1"/>
  <c r="Y223" i="1"/>
  <c r="AP225" i="1"/>
  <c r="AR225" i="1"/>
  <c r="Z225" i="1"/>
  <c r="X225" i="1"/>
  <c r="Y225" i="1"/>
  <c r="AS225" i="1"/>
  <c r="AQ225" i="1"/>
  <c r="AO225" i="1"/>
  <c r="AN225" i="1"/>
  <c r="R226" i="1"/>
  <c r="Y222" i="1"/>
  <c r="Y226" i="1" s="1"/>
  <c r="H230" i="1" s="1" a="1"/>
  <c r="H230" i="1" s="1"/>
  <c r="AP222" i="1"/>
  <c r="AP226" i="1" s="1"/>
  <c r="C230" i="1" s="1" a="1"/>
  <c r="C230" i="1" s="1"/>
  <c r="X222" i="1"/>
  <c r="X226" i="1" s="1"/>
  <c r="G230" i="1" s="1" a="1"/>
  <c r="G230" i="1" s="1"/>
  <c r="AO222" i="1"/>
  <c r="AO226" i="1" s="1"/>
  <c r="B230" i="1" s="1" a="1"/>
  <c r="B230" i="1" s="1"/>
  <c r="AS222" i="1"/>
  <c r="Z222" i="1"/>
  <c r="AQ222" i="1"/>
  <c r="AR222" i="1"/>
  <c r="AN222" i="1"/>
  <c r="AQ226" i="1" l="1"/>
  <c r="D230" i="1" s="1" a="1"/>
  <c r="D230" i="1" s="1"/>
  <c r="AB233" i="1" a="1"/>
  <c r="AB233" i="1" s="1"/>
  <c r="AB231" i="1" a="1"/>
  <c r="AB231" i="1" s="1"/>
  <c r="AB232" i="1" a="1"/>
  <c r="AB232" i="1" s="1"/>
  <c r="AB230" i="1" a="1"/>
  <c r="AB230" i="1" s="1"/>
  <c r="AR226" i="1"/>
  <c r="E230" i="1" s="1" a="1"/>
  <c r="E230" i="1" s="1"/>
  <c r="Z226" i="1"/>
  <c r="I230" i="1" s="1" a="1"/>
  <c r="I230" i="1" s="1"/>
  <c r="AN226" i="1"/>
  <c r="A230" i="1" s="1" a="1"/>
  <c r="A230" i="1" s="1"/>
  <c r="L231" i="1" s="1" a="1"/>
  <c r="L231" i="1" s="1"/>
  <c r="N231" i="1" s="1"/>
  <c r="AS226" i="1"/>
  <c r="F230" i="1" s="1" a="1"/>
  <c r="F230" i="1" s="1"/>
  <c r="L232" i="1" l="1" a="1"/>
  <c r="L232" i="1" s="1"/>
  <c r="N232" i="1" s="1"/>
  <c r="V232" i="1" s="1"/>
  <c r="L233" i="1" a="1"/>
  <c r="L233" i="1" s="1"/>
  <c r="N233" i="1" s="1"/>
  <c r="AD233" i="1" s="1"/>
  <c r="V231" i="1"/>
  <c r="AD231" i="1"/>
  <c r="L230" i="1" a="1"/>
  <c r="L230" i="1" s="1"/>
  <c r="N230" i="1" s="1"/>
  <c r="AC230" i="1" a="1"/>
  <c r="AC230" i="1" s="1"/>
  <c r="AC233" i="1" a="1"/>
  <c r="AC233" i="1" s="1"/>
  <c r="AC232" i="1" a="1"/>
  <c r="AC232" i="1" s="1"/>
  <c r="AC231" i="1" a="1"/>
  <c r="AC231" i="1" s="1"/>
  <c r="M230" i="1" a="1"/>
  <c r="M230" i="1" s="1"/>
  <c r="O230" i="1" s="1"/>
  <c r="M233" i="1" a="1"/>
  <c r="M233" i="1" s="1"/>
  <c r="O233" i="1" s="1"/>
  <c r="P233" i="1" s="1" a="1"/>
  <c r="P233" i="1" s="1"/>
  <c r="Q233" i="1" s="1"/>
  <c r="M231" i="1" a="1"/>
  <c r="M231" i="1" s="1"/>
  <c r="O231" i="1" s="1"/>
  <c r="P231" i="1" s="1" a="1"/>
  <c r="P231" i="1" s="1"/>
  <c r="Q231" i="1" s="1"/>
  <c r="M232" i="1" a="1"/>
  <c r="M232" i="1" s="1"/>
  <c r="O232" i="1" s="1"/>
  <c r="P232" i="1" s="1" a="1"/>
  <c r="P232" i="1" s="1"/>
  <c r="Q232" i="1" s="1"/>
  <c r="V233" i="1" l="1"/>
  <c r="AD232" i="1"/>
  <c r="T231" i="1"/>
  <c r="S231" i="1"/>
  <c r="AA231" i="1"/>
  <c r="R231" i="1"/>
  <c r="AA233" i="1"/>
  <c r="T233" i="1"/>
  <c r="S233" i="1"/>
  <c r="R233" i="1"/>
  <c r="W230" i="1"/>
  <c r="AE230" i="1"/>
  <c r="T232" i="1"/>
  <c r="S232" i="1"/>
  <c r="AA232" i="1"/>
  <c r="R232" i="1"/>
  <c r="W233" i="1"/>
  <c r="AE233" i="1"/>
  <c r="W232" i="1"/>
  <c r="AE232" i="1"/>
  <c r="V230" i="1"/>
  <c r="AD230" i="1"/>
  <c r="P230" i="1" a="1"/>
  <c r="P230" i="1" s="1"/>
  <c r="Q230" i="1" s="1"/>
  <c r="W231" i="1"/>
  <c r="AE231" i="1"/>
  <c r="AR233" i="1" l="1"/>
  <c r="AS233" i="1"/>
  <c r="AQ233" i="1"/>
  <c r="AP233" i="1"/>
  <c r="Z233" i="1"/>
  <c r="X233" i="1"/>
  <c r="AN233" i="1"/>
  <c r="AO233" i="1"/>
  <c r="Y233" i="1"/>
  <c r="AN232" i="1"/>
  <c r="Z232" i="1"/>
  <c r="AP232" i="1"/>
  <c r="AQ232" i="1"/>
  <c r="X232" i="1"/>
  <c r="Y232" i="1"/>
  <c r="AS232" i="1"/>
  <c r="AR232" i="1"/>
  <c r="AO232" i="1"/>
  <c r="S230" i="1"/>
  <c r="AA230" i="1"/>
  <c r="R230" i="1"/>
  <c r="R234" i="1" s="1"/>
  <c r="T230" i="1"/>
  <c r="AQ231" i="1"/>
  <c r="Y231" i="1"/>
  <c r="AP231" i="1"/>
  <c r="X231" i="1"/>
  <c r="AO231" i="1"/>
  <c r="Z231" i="1"/>
  <c r="AS231" i="1"/>
  <c r="AR231" i="1"/>
  <c r="AN231" i="1"/>
  <c r="AS230" i="1" l="1"/>
  <c r="AS234" i="1" s="1"/>
  <c r="F238" i="1" s="1" a="1"/>
  <c r="F238" i="1" s="1"/>
  <c r="AQ230" i="1"/>
  <c r="AQ234" i="1" s="1"/>
  <c r="D238" i="1" s="1" a="1"/>
  <c r="D238" i="1" s="1"/>
  <c r="Y230" i="1"/>
  <c r="Y234" i="1" s="1"/>
  <c r="H238" i="1" s="1" a="1"/>
  <c r="H238" i="1" s="1"/>
  <c r="AP230" i="1"/>
  <c r="AP234" i="1" s="1"/>
  <c r="C238" i="1" s="1" a="1"/>
  <c r="C238" i="1" s="1"/>
  <c r="AN230" i="1"/>
  <c r="AN234" i="1" s="1"/>
  <c r="A238" i="1" s="1" a="1"/>
  <c r="A238" i="1" s="1"/>
  <c r="AR230" i="1"/>
  <c r="AR234" i="1" s="1"/>
  <c r="E238" i="1" s="1" a="1"/>
  <c r="E238" i="1" s="1"/>
  <c r="Z230" i="1"/>
  <c r="Z234" i="1" s="1"/>
  <c r="I238" i="1" s="1" a="1"/>
  <c r="I238" i="1" s="1"/>
  <c r="AO230" i="1"/>
  <c r="AO234" i="1" s="1"/>
  <c r="B238" i="1" s="1" a="1"/>
  <c r="B238" i="1" s="1"/>
  <c r="X230" i="1"/>
  <c r="X234" i="1" s="1"/>
  <c r="G238" i="1" s="1" a="1"/>
  <c r="G238" i="1" s="1"/>
  <c r="AC240" i="1" l="1" a="1"/>
  <c r="AC240" i="1" s="1"/>
  <c r="AC238" i="1" a="1"/>
  <c r="AC238" i="1" s="1"/>
  <c r="AC241" i="1" a="1"/>
  <c r="AC241" i="1" s="1"/>
  <c r="AC239" i="1" a="1"/>
  <c r="AC239" i="1" s="1"/>
  <c r="AB241" i="1" a="1"/>
  <c r="AB241" i="1" s="1"/>
  <c r="AB239" i="1" a="1"/>
  <c r="AB239" i="1" s="1"/>
  <c r="AB238" i="1" a="1"/>
  <c r="AB238" i="1" s="1"/>
  <c r="AB240" i="1" a="1"/>
  <c r="AB240" i="1" s="1"/>
  <c r="L238" i="1" a="1"/>
  <c r="L238" i="1" s="1"/>
  <c r="N238" i="1" s="1"/>
  <c r="L239" i="1" a="1"/>
  <c r="L239" i="1" s="1"/>
  <c r="N239" i="1" s="1"/>
  <c r="L241" i="1" a="1"/>
  <c r="L241" i="1" s="1"/>
  <c r="N241" i="1" s="1"/>
  <c r="L240" i="1" a="1"/>
  <c r="L240" i="1" s="1"/>
  <c r="N240" i="1" s="1"/>
  <c r="M241" i="1" a="1"/>
  <c r="M241" i="1" s="1"/>
  <c r="O241" i="1" s="1"/>
  <c r="M239" i="1" a="1"/>
  <c r="M239" i="1" s="1"/>
  <c r="O239" i="1" s="1"/>
  <c r="M240" i="1" a="1"/>
  <c r="M240" i="1" s="1"/>
  <c r="O240" i="1" s="1"/>
  <c r="M238" i="1" a="1"/>
  <c r="M238" i="1" s="1"/>
  <c r="O238" i="1" s="1"/>
  <c r="V241" i="1" l="1"/>
  <c r="AD241" i="1"/>
  <c r="AD239" i="1"/>
  <c r="V239" i="1"/>
  <c r="P241" i="1" a="1"/>
  <c r="P241" i="1" s="1"/>
  <c r="Q241" i="1" s="1"/>
  <c r="AD238" i="1"/>
  <c r="V238" i="1"/>
  <c r="V240" i="1"/>
  <c r="AD240" i="1"/>
  <c r="P239" i="1" a="1"/>
  <c r="P239" i="1" s="1"/>
  <c r="Q239" i="1" s="1"/>
  <c r="P240" i="1" a="1"/>
  <c r="P240" i="1" s="1"/>
  <c r="Q240" i="1" s="1"/>
  <c r="AE240" i="1"/>
  <c r="W240" i="1"/>
  <c r="AE239" i="1"/>
  <c r="W239" i="1"/>
  <c r="P238" i="1" a="1"/>
  <c r="P238" i="1" s="1"/>
  <c r="Q238" i="1" s="1"/>
  <c r="W238" i="1"/>
  <c r="AE238" i="1"/>
  <c r="W241" i="1"/>
  <c r="AE241" i="1"/>
  <c r="S238" i="1" l="1"/>
  <c r="AA238" i="1"/>
  <c r="T238" i="1"/>
  <c r="R238" i="1"/>
  <c r="AA239" i="1"/>
  <c r="R239" i="1"/>
  <c r="S239" i="1"/>
  <c r="T239" i="1"/>
  <c r="R240" i="1"/>
  <c r="T240" i="1"/>
  <c r="S240" i="1"/>
  <c r="AA240" i="1"/>
  <c r="AA241" i="1"/>
  <c r="T241" i="1"/>
  <c r="S241" i="1"/>
  <c r="R241" i="1"/>
  <c r="AQ241" i="1" l="1"/>
  <c r="AP241" i="1"/>
  <c r="Z241" i="1"/>
  <c r="Y241" i="1"/>
  <c r="X241" i="1"/>
  <c r="AO241" i="1"/>
  <c r="AR241" i="1"/>
  <c r="AN241" i="1"/>
  <c r="AS241" i="1"/>
  <c r="AN240" i="1"/>
  <c r="Y240" i="1"/>
  <c r="X240" i="1"/>
  <c r="AO240" i="1"/>
  <c r="AS240" i="1"/>
  <c r="AR240" i="1"/>
  <c r="AQ240" i="1"/>
  <c r="AP240" i="1"/>
  <c r="Z240" i="1"/>
  <c r="X239" i="1"/>
  <c r="AN239" i="1"/>
  <c r="AP239" i="1"/>
  <c r="AR239" i="1"/>
  <c r="Z239" i="1"/>
  <c r="AO239" i="1"/>
  <c r="AQ239" i="1"/>
  <c r="Y239" i="1"/>
  <c r="AS239" i="1"/>
  <c r="R242" i="1"/>
  <c r="AS238" i="1"/>
  <c r="AR238" i="1"/>
  <c r="Z238" i="1"/>
  <c r="Z242" i="1" s="1"/>
  <c r="I246" i="1" s="1" a="1"/>
  <c r="I246" i="1" s="1"/>
  <c r="AP238" i="1"/>
  <c r="AP242" i="1" s="1"/>
  <c r="C246" i="1" s="1" a="1"/>
  <c r="C246" i="1" s="1"/>
  <c r="AO238" i="1"/>
  <c r="X238" i="1"/>
  <c r="AQ238" i="1"/>
  <c r="Y238" i="1"/>
  <c r="AN238" i="1"/>
  <c r="AS242" i="1" l="1"/>
  <c r="F246" i="1" s="1" a="1"/>
  <c r="F246" i="1" s="1"/>
  <c r="AN242" i="1"/>
  <c r="A246" i="1" s="1" a="1"/>
  <c r="A246" i="1" s="1"/>
  <c r="AR242" i="1"/>
  <c r="E246" i="1" s="1" a="1"/>
  <c r="E246" i="1" s="1"/>
  <c r="X242" i="1"/>
  <c r="G246" i="1" s="1" a="1"/>
  <c r="G246" i="1" s="1"/>
  <c r="AC247" i="1" a="1"/>
  <c r="AC247" i="1" s="1"/>
  <c r="AC248" i="1" a="1"/>
  <c r="AC248" i="1" s="1"/>
  <c r="AC249" i="1" a="1"/>
  <c r="AC249" i="1" s="1"/>
  <c r="AC246" i="1" a="1"/>
  <c r="AC246" i="1" s="1"/>
  <c r="Y242" i="1"/>
  <c r="H246" i="1" s="1" a="1"/>
  <c r="H246" i="1" s="1"/>
  <c r="AQ242" i="1"/>
  <c r="D246" i="1" s="1" a="1"/>
  <c r="D246" i="1" s="1"/>
  <c r="AO242" i="1"/>
  <c r="B246" i="1" s="1" a="1"/>
  <c r="B246" i="1" s="1"/>
  <c r="AB248" i="1" l="1" a="1"/>
  <c r="AB248" i="1" s="1"/>
  <c r="AB247" i="1" a="1"/>
  <c r="AB247" i="1" s="1"/>
  <c r="AB249" i="1" a="1"/>
  <c r="AB249" i="1" s="1"/>
  <c r="AB246" i="1" a="1"/>
  <c r="AB246" i="1" s="1"/>
  <c r="M247" i="1" a="1"/>
  <c r="M247" i="1" s="1"/>
  <c r="O247" i="1" s="1"/>
  <c r="M248" i="1" a="1"/>
  <c r="M248" i="1" s="1"/>
  <c r="O248" i="1" s="1"/>
  <c r="M246" i="1" a="1"/>
  <c r="M246" i="1" s="1"/>
  <c r="O246" i="1" s="1"/>
  <c r="M249" i="1" a="1"/>
  <c r="M249" i="1" s="1"/>
  <c r="O249" i="1" s="1"/>
  <c r="L246" i="1" a="1"/>
  <c r="L246" i="1" s="1"/>
  <c r="N246" i="1" s="1"/>
  <c r="L247" i="1" a="1"/>
  <c r="L247" i="1" s="1"/>
  <c r="N247" i="1" s="1"/>
  <c r="L249" i="1" a="1"/>
  <c r="L249" i="1" s="1"/>
  <c r="N249" i="1" s="1"/>
  <c r="L248" i="1" a="1"/>
  <c r="L248" i="1" s="1"/>
  <c r="N248" i="1" s="1"/>
  <c r="P248" i="1" l="1" a="1"/>
  <c r="P248" i="1" s="1"/>
  <c r="Q248" i="1" s="1"/>
  <c r="S248" i="1" s="1"/>
  <c r="V246" i="1"/>
  <c r="AD246" i="1"/>
  <c r="V247" i="1"/>
  <c r="AD247" i="1"/>
  <c r="W247" i="1"/>
  <c r="AE247" i="1"/>
  <c r="AD249" i="1"/>
  <c r="V249" i="1"/>
  <c r="W249" i="1"/>
  <c r="AE249" i="1"/>
  <c r="P247" i="1" a="1"/>
  <c r="P247" i="1" s="1"/>
  <c r="Q247" i="1" s="1"/>
  <c r="V248" i="1"/>
  <c r="AD248" i="1"/>
  <c r="W246" i="1"/>
  <c r="AE246" i="1"/>
  <c r="P246" i="1" a="1"/>
  <c r="P246" i="1" s="1"/>
  <c r="Q246" i="1" s="1"/>
  <c r="W248" i="1"/>
  <c r="AE248" i="1"/>
  <c r="P249" i="1" a="1"/>
  <c r="P249" i="1" s="1"/>
  <c r="Q249" i="1" s="1"/>
  <c r="T248" i="1" l="1"/>
  <c r="AS248" i="1" s="1"/>
  <c r="AA248" i="1"/>
  <c r="R248" i="1"/>
  <c r="R247" i="1"/>
  <c r="AA247" i="1"/>
  <c r="S247" i="1"/>
  <c r="T247" i="1"/>
  <c r="S246" i="1"/>
  <c r="R246" i="1"/>
  <c r="T246" i="1"/>
  <c r="AA246" i="1"/>
  <c r="S249" i="1"/>
  <c r="T249" i="1"/>
  <c r="R249" i="1"/>
  <c r="AA249" i="1"/>
  <c r="AP248" i="1" l="1"/>
  <c r="AR248" i="1"/>
  <c r="Y248" i="1"/>
  <c r="AN248" i="1"/>
  <c r="Z248" i="1"/>
  <c r="AO248" i="1"/>
  <c r="X248" i="1"/>
  <c r="AQ248" i="1"/>
  <c r="AN247" i="1"/>
  <c r="AQ247" i="1"/>
  <c r="Y247" i="1"/>
  <c r="AP247" i="1"/>
  <c r="AS247" i="1"/>
  <c r="X247" i="1"/>
  <c r="AR247" i="1"/>
  <c r="AO247" i="1"/>
  <c r="Z247" i="1"/>
  <c r="R250" i="1"/>
  <c r="Z249" i="1"/>
  <c r="AP249" i="1"/>
  <c r="AS249" i="1"/>
  <c r="X249" i="1"/>
  <c r="Y249" i="1"/>
  <c r="AN249" i="1"/>
  <c r="AR249" i="1"/>
  <c r="AO249" i="1"/>
  <c r="AQ249" i="1"/>
  <c r="AQ246" i="1"/>
  <c r="AP246" i="1"/>
  <c r="Z246" i="1"/>
  <c r="Y246" i="1"/>
  <c r="AN246" i="1"/>
  <c r="X246" i="1"/>
  <c r="AR246" i="1"/>
  <c r="AS246" i="1"/>
  <c r="AO246" i="1"/>
  <c r="AR250" i="1" l="1"/>
  <c r="E254" i="1" s="1" a="1"/>
  <c r="E254" i="1" s="1"/>
  <c r="AQ250" i="1"/>
  <c r="D254" i="1" s="1" a="1"/>
  <c r="D254" i="1" s="1"/>
  <c r="AO250" i="1"/>
  <c r="B254" i="1" s="1" a="1"/>
  <c r="B254" i="1" s="1"/>
  <c r="AS250" i="1"/>
  <c r="F254" i="1" s="1" a="1"/>
  <c r="F254" i="1" s="1"/>
  <c r="AP250" i="1"/>
  <c r="C254" i="1" s="1" a="1"/>
  <c r="C254" i="1" s="1"/>
  <c r="AN250" i="1"/>
  <c r="A254" i="1" s="1" a="1"/>
  <c r="A254" i="1" s="1"/>
  <c r="Z250" i="1"/>
  <c r="I254" i="1" s="1" a="1"/>
  <c r="I254" i="1" s="1"/>
  <c r="X250" i="1"/>
  <c r="G254" i="1" s="1" a="1"/>
  <c r="G254" i="1" s="1"/>
  <c r="Y250" i="1"/>
  <c r="H254" i="1" s="1" a="1"/>
  <c r="H254" i="1" s="1"/>
  <c r="L255" i="1" l="1" a="1"/>
  <c r="L255" i="1" s="1"/>
  <c r="N255" i="1" s="1"/>
  <c r="V255" i="1" s="1"/>
  <c r="M254" i="1" a="1"/>
  <c r="M254" i="1" s="1"/>
  <c r="O254" i="1" s="1"/>
  <c r="M255" i="1" a="1"/>
  <c r="M255" i="1" s="1"/>
  <c r="O255" i="1" s="1"/>
  <c r="M256" i="1" a="1"/>
  <c r="M256" i="1" s="1"/>
  <c r="O256" i="1" s="1"/>
  <c r="AE256" i="1" s="1"/>
  <c r="M257" i="1" a="1"/>
  <c r="M257" i="1" s="1"/>
  <c r="O257" i="1" s="1"/>
  <c r="AE257" i="1" s="1"/>
  <c r="L256" i="1" a="1"/>
  <c r="L256" i="1" s="1"/>
  <c r="N256" i="1" s="1"/>
  <c r="P256" i="1" s="1" a="1"/>
  <c r="P256" i="1" s="1"/>
  <c r="Q256" i="1" s="1"/>
  <c r="L254" i="1" a="1"/>
  <c r="L254" i="1" s="1"/>
  <c r="N254" i="1" s="1"/>
  <c r="AD254" i="1" s="1"/>
  <c r="L257" i="1" a="1"/>
  <c r="L257" i="1" s="1"/>
  <c r="N257" i="1" s="1"/>
  <c r="P257" i="1" s="1" a="1"/>
  <c r="P257" i="1" s="1"/>
  <c r="Q257" i="1" s="1"/>
  <c r="AD256" i="1"/>
  <c r="V256" i="1"/>
  <c r="AC257" i="1" a="1"/>
  <c r="AC257" i="1" s="1"/>
  <c r="AC254" i="1" a="1"/>
  <c r="AC254" i="1" s="1"/>
  <c r="AC256" i="1" a="1"/>
  <c r="AC256" i="1" s="1"/>
  <c r="AC255" i="1" a="1"/>
  <c r="AC255" i="1" s="1"/>
  <c r="AB257" i="1" a="1"/>
  <c r="AB257" i="1" s="1"/>
  <c r="AB256" i="1" a="1"/>
  <c r="AB256" i="1" s="1"/>
  <c r="AB255" i="1" a="1"/>
  <c r="AB255" i="1" s="1"/>
  <c r="AB254" i="1" a="1"/>
  <c r="AB254" i="1" s="1"/>
  <c r="W254" i="1"/>
  <c r="AE254" i="1"/>
  <c r="AD255" i="1" l="1"/>
  <c r="P255" i="1" a="1"/>
  <c r="P255" i="1" s="1"/>
  <c r="Q255" i="1" s="1"/>
  <c r="T255" i="1" s="1"/>
  <c r="W257" i="1"/>
  <c r="W256" i="1"/>
  <c r="AD257" i="1"/>
  <c r="V257" i="1"/>
  <c r="AE255" i="1"/>
  <c r="W255" i="1"/>
  <c r="P254" i="1" a="1"/>
  <c r="P254" i="1" s="1"/>
  <c r="Q254" i="1" s="1"/>
  <c r="AA254" i="1" s="1"/>
  <c r="V254" i="1"/>
  <c r="R256" i="1"/>
  <c r="S256" i="1"/>
  <c r="AA256" i="1"/>
  <c r="T256" i="1"/>
  <c r="AR256" i="1" s="1"/>
  <c r="T257" i="1"/>
  <c r="R257" i="1"/>
  <c r="S257" i="1"/>
  <c r="AA257" i="1"/>
  <c r="R255" i="1"/>
  <c r="S255" i="1"/>
  <c r="AA255" i="1"/>
  <c r="T254" i="1" l="1"/>
  <c r="R254" i="1"/>
  <c r="R258" i="1"/>
  <c r="S254" i="1"/>
  <c r="AS254" i="1"/>
  <c r="AR254" i="1"/>
  <c r="Z254" i="1"/>
  <c r="Y254" i="1"/>
  <c r="AP254" i="1"/>
  <c r="AN254" i="1"/>
  <c r="X254" i="1"/>
  <c r="AQ254" i="1"/>
  <c r="AO254" i="1"/>
  <c r="AQ255" i="1"/>
  <c r="Y255" i="1"/>
  <c r="AP255" i="1"/>
  <c r="X255" i="1"/>
  <c r="AO255" i="1"/>
  <c r="Z255" i="1"/>
  <c r="AS255" i="1"/>
  <c r="AN255" i="1"/>
  <c r="AR255" i="1"/>
  <c r="Z256" i="1"/>
  <c r="AP256" i="1"/>
  <c r="X256" i="1"/>
  <c r="Y256" i="1"/>
  <c r="AQ256" i="1"/>
  <c r="AO256" i="1"/>
  <c r="AS256" i="1"/>
  <c r="AN256" i="1"/>
  <c r="AO257" i="1"/>
  <c r="AN257" i="1"/>
  <c r="Z257" i="1"/>
  <c r="AQ257" i="1"/>
  <c r="AS257" i="1"/>
  <c r="AR257" i="1"/>
  <c r="Y257" i="1"/>
  <c r="AP257" i="1"/>
  <c r="X257" i="1"/>
  <c r="AN258" i="1" l="1"/>
  <c r="Z258" i="1"/>
  <c r="AO258" i="1"/>
  <c r="AP258" i="1"/>
  <c r="AR258" i="1"/>
  <c r="AQ258" i="1"/>
  <c r="X258" i="1"/>
  <c r="Y258" i="1"/>
  <c r="AS25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<sst xmlns="http://schemas.openxmlformats.org/spreadsheetml/2006/main" count="1680" uniqueCount="51">
  <si>
    <t>Desired Function to Learn</t>
  </si>
  <si>
    <t>XOR Gate</t>
  </si>
  <si>
    <t>Input 1</t>
  </si>
  <si>
    <t>Input 2</t>
  </si>
  <si>
    <t>Output 5</t>
  </si>
  <si>
    <t>Learning rate (k)</t>
  </si>
  <si>
    <t>sigmoid' = EXP([cell])/POW(1 + EXP([cell]), 2)</t>
  </si>
  <si>
    <t>Inputs</t>
  </si>
  <si>
    <t>Weighted Sum</t>
  </si>
  <si>
    <t>Hidden Layer</t>
  </si>
  <si>
    <t>Output</t>
  </si>
  <si>
    <t>Cost</t>
  </si>
  <si>
    <t>𝛿C/</t>
  </si>
  <si>
    <t>𝛿z_3/</t>
  </si>
  <si>
    <t>b_1</t>
  </si>
  <si>
    <t>w_1</t>
  </si>
  <si>
    <t>w_2</t>
  </si>
  <si>
    <t>b_2</t>
  </si>
  <si>
    <t>w_3</t>
  </si>
  <si>
    <t>w_4</t>
  </si>
  <si>
    <t>b_3</t>
  </si>
  <si>
    <t>w_5</t>
  </si>
  <si>
    <t>w_6</t>
  </si>
  <si>
    <t>x_1</t>
  </si>
  <si>
    <t>x_2</t>
  </si>
  <si>
    <t>z_3</t>
  </si>
  <si>
    <t>a_3</t>
  </si>
  <si>
    <t>C</t>
  </si>
  <si>
    <t>𝛿b_3</t>
  </si>
  <si>
    <t>𝛿w_5</t>
  </si>
  <si>
    <t>𝛿w_6</t>
  </si>
  <si>
    <t>𝛿a_3/𝛿z_3</t>
  </si>
  <si>
    <t>𝛿b_1</t>
  </si>
  <si>
    <t>𝛿w_1</t>
  </si>
  <si>
    <t>𝛿w_2</t>
  </si>
  <si>
    <t>𝛿b_2</t>
  </si>
  <si>
    <t>𝛿w_3</t>
  </si>
  <si>
    <t>𝛿w_4</t>
  </si>
  <si>
    <t>Step</t>
  </si>
  <si>
    <t>z_1</t>
  </si>
  <si>
    <t>z_2</t>
  </si>
  <si>
    <t>H1</t>
  </si>
  <si>
    <t>H2</t>
  </si>
  <si>
    <t>𝛿C/𝛿a_3</t>
  </si>
  <si>
    <t>𝛿z_1/</t>
  </si>
  <si>
    <t>𝛿z_2/</t>
  </si>
  <si>
    <t>𝛿H_1/𝛿z_1</t>
  </si>
  <si>
    <t>𝛿H_2/𝛿z_2</t>
  </si>
  <si>
    <t>𝛿z_3/𝛿H1</t>
  </si>
  <si>
    <t>𝛿z_3/𝛿H2</t>
  </si>
  <si>
    <t>𝛿C/𝛿a3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</si>
</sst>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Roboto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FF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7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160020</xdr:colOff>
      <xdr:row>0</xdr:row>
      <xdr:rowOff>144780</xdr:rowOff>
    </xdr:from>
    <xdr:to>
      <xdr:col>9</xdr:col>
      <xdr:colOff>518160</xdr:colOff>
      <xdr:row>8</xdr:row>
      <xdr:rowOff>137169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F8A532-70B9-4AAD-F669-5FF114138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020" y="144780"/>
          <a:ext cx="3710940" cy="1516389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</xdr:colOff>
      <xdr:row>2</xdr:row>
      <xdr:rowOff>0</xdr:rowOff>
    </xdr:from>
    <xdr:to>
      <xdr:col>14</xdr:col>
      <xdr:colOff>762000</xdr:colOff>
      <xdr:row>8</xdr:row>
      <xdr:rowOff>81938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90861C-73CB-055E-9358-5D6AE1DD9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060" y="381000"/>
          <a:ext cx="2324100" cy="1224938"/>
        </a:xfrm>
        <a:prstGeom prst="rect">
          <a:avLst/>
        </a:prstGeom>
      </xdr:spPr>
    </xdr:pic>
    <xdr:clientData/>
  </xdr:twoCellAnchor>
  <xdr:twoCellAnchor editAs="oneCell">
    <xdr:from>
      <xdr:col>19</xdr:col>
      <xdr:colOff>137160</xdr:colOff>
      <xdr:row>2</xdr:row>
      <xdr:rowOff>76200</xdr:rowOff>
    </xdr:from>
    <xdr:to>
      <xdr:col>26</xdr:col>
      <xdr:colOff>690442</xdr:colOff>
      <xdr:row>5</xdr:row>
      <xdr:rowOff>171543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7C3AE0-0685-2DDD-24E5-569FD600D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77160" y="457200"/>
          <a:ext cx="5963482" cy="6668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410B-9A5A-4F7F-BBC8-979BEBE614F7}">
  <dimension ref="A1:AU327"/>
  <sheetViews>
    <sheetView tabSelected="1" topLeftCell="A39" workbookViewId="0">
      <selection activeCell="AB8" sqref="AB8"/>
    </sheetView>
  </sheetViews>
  <sheetFormatPr defaultRowHeight="14.4" x14ac:dyDescent="0.3"/>
  <cols>
    <col min="1" max="1" width="12.21875" bestFit="1" customWidth="1"/>
    <col min="2" max="2" width="11.5546875" bestFit="1" customWidth="1"/>
    <col min="3" max="9" width="12.21875" bestFit="1" customWidth="1"/>
    <col min="12" max="13" width="12.21875" bestFit="1" customWidth="1"/>
    <col min="14" max="15" width="11.5546875" bestFit="1" customWidth="1"/>
    <col min="16" max="16" width="12.21875" bestFit="1" customWidth="1"/>
    <col min="17" max="18" width="11.5546875" bestFit="1" customWidth="1"/>
    <col min="19" max="19" width="12.21875" bestFit="1" customWidth="1"/>
    <col min="20" max="20" width="11.5546875" bestFit="1" customWidth="1"/>
    <col min="22" max="23" width="11.5546875" bestFit="1" customWidth="1"/>
    <col min="24" max="24" width="12.21875" bestFit="1" customWidth="1"/>
    <col min="25" max="26" width="11.5546875" bestFit="1" customWidth="1"/>
    <col min="27" max="27" width="12.21875" bestFit="1" customWidth="1"/>
    <col min="28" max="31" width="11.5546875" bestFit="1" customWidth="1"/>
    <col min="40" max="40" width="12.21875" bestFit="1" customWidth="1"/>
    <col min="41" max="41" width="11.5546875" bestFit="1" customWidth="1"/>
    <col min="42" max="42" width="10.5546875" bestFit="1" customWidth="1"/>
    <col min="43" max="45" width="11.5546875" bestFit="1" customWidth="1"/>
  </cols>
  <sheetData>
    <row r="1" spans="1:47" ht="15" thickBot="1" x14ac:dyDescent="0.35">
      <c r="A1" s="41" t="s">
        <v>0</v>
      </c>
      <c r="B1" s="42"/>
      <c r="C1" s="4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7" ht="15" thickBot="1" x14ac:dyDescent="0.35">
      <c r="A2" s="41" t="s">
        <v>1</v>
      </c>
      <c r="B2" s="42"/>
      <c r="C2" s="4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7" ht="15" thickBot="1" x14ac:dyDescent="0.35">
      <c r="A3" s="2" t="s">
        <v>2</v>
      </c>
      <c r="B3" s="2" t="s">
        <v>3</v>
      </c>
      <c r="C3" s="2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7" ht="15" thickBot="1" x14ac:dyDescent="0.35">
      <c r="A4" s="3">
        <v>0</v>
      </c>
      <c r="B4" s="3">
        <v>0</v>
      </c>
      <c r="C4" s="3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7" ht="15" thickBot="1" x14ac:dyDescent="0.35">
      <c r="A5" s="3">
        <v>0</v>
      </c>
      <c r="B5" s="3">
        <v>1</v>
      </c>
      <c r="C5" s="3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7" ht="15" thickBot="1" x14ac:dyDescent="0.35">
      <c r="A6" s="3">
        <v>1</v>
      </c>
      <c r="B6" s="3">
        <v>0</v>
      </c>
      <c r="C6" s="3">
        <v>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7" ht="15" thickBot="1" x14ac:dyDescent="0.35">
      <c r="A7" s="3">
        <v>1</v>
      </c>
      <c r="B7" s="3">
        <v>1</v>
      </c>
      <c r="C7" s="3">
        <v>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7" ht="15" thickBot="1" x14ac:dyDescent="0.35">
      <c r="A8" s="4"/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7" ht="15" thickBot="1" x14ac:dyDescent="0.35">
      <c r="A9" s="44" t="s">
        <v>5</v>
      </c>
      <c r="B9" s="45"/>
      <c r="C9" s="5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7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6"/>
      <c r="U10" s="1"/>
      <c r="V10" s="1"/>
      <c r="W10" s="1"/>
      <c r="X10" s="1"/>
      <c r="Y10" s="1"/>
      <c r="Z10" s="1"/>
      <c r="AA10" s="7" t="s">
        <v>6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7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8"/>
      <c r="S11" s="36"/>
      <c r="T11" s="37"/>
      <c r="U11" s="37"/>
      <c r="V11" s="37"/>
      <c r="W11" s="37"/>
      <c r="X11" s="37"/>
      <c r="Y11" s="37"/>
      <c r="Z11" s="38"/>
      <c r="AA11" s="36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8"/>
      <c r="AS11" s="1"/>
    </row>
    <row r="12" spans="1:47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30" t="s">
        <v>7</v>
      </c>
      <c r="K12" s="31"/>
      <c r="L12" s="30" t="s">
        <v>8</v>
      </c>
      <c r="M12" s="31"/>
      <c r="N12" s="30" t="s">
        <v>9</v>
      </c>
      <c r="O12" s="31"/>
      <c r="P12" s="1"/>
      <c r="Q12" s="9" t="s">
        <v>10</v>
      </c>
      <c r="R12" s="10" t="s">
        <v>11</v>
      </c>
      <c r="S12" s="1"/>
      <c r="T12" s="11"/>
      <c r="U12" s="23" t="s">
        <v>13</v>
      </c>
      <c r="V12" s="24"/>
      <c r="W12" s="26"/>
      <c r="X12" s="32" t="s">
        <v>12</v>
      </c>
      <c r="Y12" s="33"/>
      <c r="Z12" s="34"/>
      <c r="AA12" s="35"/>
      <c r="AB12" s="25"/>
      <c r="AC12" s="21"/>
      <c r="AD12" s="22"/>
      <c r="AE12" s="11"/>
      <c r="AF12" s="11"/>
      <c r="AG12" s="23" t="s">
        <v>44</v>
      </c>
      <c r="AH12" s="24"/>
      <c r="AI12" s="25"/>
      <c r="AJ12" s="17"/>
      <c r="AK12" s="17"/>
      <c r="AL12" s="23" t="s">
        <v>45</v>
      </c>
      <c r="AM12" s="24"/>
      <c r="AN12" s="26"/>
      <c r="AO12" s="27" t="s">
        <v>12</v>
      </c>
      <c r="AP12" s="28"/>
      <c r="AQ12" s="28"/>
      <c r="AR12" s="28"/>
      <c r="AS12" s="28"/>
      <c r="AT12" s="29"/>
      <c r="AU12" s="1"/>
    </row>
    <row r="13" spans="1:47" ht="15" thickBot="1" x14ac:dyDescent="0.35">
      <c r="A13" s="12" t="s">
        <v>14</v>
      </c>
      <c r="B13" s="12" t="s">
        <v>15</v>
      </c>
      <c r="C13" s="12" t="s">
        <v>16</v>
      </c>
      <c r="D13" s="12" t="s">
        <v>17</v>
      </c>
      <c r="E13" s="12" t="s">
        <v>18</v>
      </c>
      <c r="F13" s="12" t="s">
        <v>19</v>
      </c>
      <c r="G13" s="12" t="s">
        <v>20</v>
      </c>
      <c r="H13" s="12" t="s">
        <v>21</v>
      </c>
      <c r="I13" s="12" t="s">
        <v>22</v>
      </c>
      <c r="J13" s="12" t="s">
        <v>23</v>
      </c>
      <c r="K13" s="12" t="s">
        <v>24</v>
      </c>
      <c r="L13" s="12" t="s">
        <v>39</v>
      </c>
      <c r="M13" s="12" t="s">
        <v>40</v>
      </c>
      <c r="N13" s="12" t="s">
        <v>41</v>
      </c>
      <c r="O13" s="12" t="s">
        <v>42</v>
      </c>
      <c r="P13" s="12" t="s">
        <v>25</v>
      </c>
      <c r="Q13" s="12" t="s">
        <v>26</v>
      </c>
      <c r="R13" s="13" t="s">
        <v>27</v>
      </c>
      <c r="S13" s="12" t="s">
        <v>43</v>
      </c>
      <c r="T13" s="12" t="s">
        <v>31</v>
      </c>
      <c r="U13" s="12" t="s">
        <v>28</v>
      </c>
      <c r="V13" s="12" t="s">
        <v>29</v>
      </c>
      <c r="W13" s="13" t="s">
        <v>30</v>
      </c>
      <c r="X13" s="12" t="s">
        <v>28</v>
      </c>
      <c r="Y13" s="12" t="s">
        <v>29</v>
      </c>
      <c r="Z13" s="13" t="s">
        <v>30</v>
      </c>
      <c r="AA13" s="12" t="s">
        <v>50</v>
      </c>
      <c r="AB13" s="12" t="s">
        <v>48</v>
      </c>
      <c r="AC13" s="12" t="s">
        <v>49</v>
      </c>
      <c r="AD13" s="12" t="s">
        <v>46</v>
      </c>
      <c r="AE13" s="12" t="s">
        <v>47</v>
      </c>
      <c r="AF13" s="12" t="s">
        <v>32</v>
      </c>
      <c r="AG13" s="12" t="s">
        <v>33</v>
      </c>
      <c r="AH13" s="12" t="s">
        <v>34</v>
      </c>
      <c r="AI13" s="12"/>
      <c r="AJ13" s="12"/>
      <c r="AK13" s="12" t="s">
        <v>35</v>
      </c>
      <c r="AL13" s="12" t="s">
        <v>36</v>
      </c>
      <c r="AM13" s="13" t="s">
        <v>37</v>
      </c>
      <c r="AN13" s="12" t="s">
        <v>32</v>
      </c>
      <c r="AO13" s="12" t="s">
        <v>33</v>
      </c>
      <c r="AP13" s="12" t="s">
        <v>34</v>
      </c>
      <c r="AQ13" s="12" t="s">
        <v>35</v>
      </c>
      <c r="AR13" s="12" t="s">
        <v>36</v>
      </c>
      <c r="AS13" s="13" t="s">
        <v>37</v>
      </c>
      <c r="AT13" s="1"/>
    </row>
    <row r="14" spans="1:47" ht="15" thickBot="1" x14ac:dyDescent="0.35">
      <c r="A14" s="3">
        <v>-6</v>
      </c>
      <c r="B14" s="3">
        <v>4</v>
      </c>
      <c r="C14" s="3">
        <v>0</v>
      </c>
      <c r="D14" s="3">
        <v>5</v>
      </c>
      <c r="E14" s="3">
        <v>-4</v>
      </c>
      <c r="F14" s="3">
        <v>-4</v>
      </c>
      <c r="G14" s="3">
        <v>0</v>
      </c>
      <c r="H14" s="3">
        <v>-4</v>
      </c>
      <c r="I14" s="3">
        <v>-4</v>
      </c>
      <c r="J14" s="3">
        <v>0</v>
      </c>
      <c r="K14" s="3">
        <v>0</v>
      </c>
      <c r="L14" s="1" cm="1">
        <f t="array" ref="L14">INDEX(B:B, 14 + INT((ROW()-14)/8)*8)*J14
+ INDEX(C:C, 14 + INT((ROW()-14)/8)*8)*K14
+ INDEX(A:A, 14 + INT((ROW()-14)/8)*8)</f>
        <v>-6</v>
      </c>
      <c r="M14" s="1" cm="1">
        <f t="array" ref="M14">INDEX(E:E, 14 + INT((ROW()-14)/8)*8)*J14
+ INDEX(F:F, 14 + INT((ROW()-14)/8)*8)*K14
+ INDEX(D:D, 14 + INT((ROW()-14)/8)*8)</f>
        <v>5</v>
      </c>
      <c r="N14" s="1">
        <f>1/(1+EXP(-L14))</f>
        <v>2.4726231566347743E-3</v>
      </c>
      <c r="O14" s="1">
        <f>1/(1+EXP(-M14))</f>
        <v>0.99330714907571527</v>
      </c>
      <c r="P14" s="1" cm="1">
        <f t="array" ref="P14">INDEX(H:H, 14 + INT((ROW()-14)/8)*8)*N14
+ INDEX(I:I, 14 + INT((ROW()-14)/8)*8)*O14
+ INDEX(G:G, 14 + INT((ROW()-14)/8)*8)</f>
        <v>-3.9831190889294001</v>
      </c>
      <c r="Q14" s="1">
        <f>1/(1+EXP(-P14))</f>
        <v>1.8286811339452064E-2</v>
      </c>
      <c r="R14" s="8">
        <f>($C$4-Q14)^2</f>
        <v>3.344074689647126E-4</v>
      </c>
      <c r="S14" s="1">
        <f>2*(Q14-$C$4)</f>
        <v>3.6573622678904127E-2</v>
      </c>
      <c r="T14" s="1">
        <f>Q14*(1-Q14)</f>
        <v>1.7952403870487351E-2</v>
      </c>
      <c r="U14" s="1">
        <v>1</v>
      </c>
      <c r="V14" s="1">
        <f>N14</f>
        <v>2.4726231566347743E-3</v>
      </c>
      <c r="W14" s="8">
        <f>O14</f>
        <v>0.99330714907571527</v>
      </c>
      <c r="X14" s="1">
        <f>S14*T14*U14</f>
        <v>6.5658444533850239E-4</v>
      </c>
      <c r="Y14" s="1">
        <f>S14*T14*V14</f>
        <v>1.6234859038301802E-6</v>
      </c>
      <c r="Z14" s="8">
        <f>S14*T14*W14</f>
        <v>6.5219002352664762E-4</v>
      </c>
      <c r="AA14" s="1">
        <f>2*(Q14-$C$4)</f>
        <v>3.6573622678904127E-2</v>
      </c>
      <c r="AB14" s="1" cm="1">
        <f t="array" ref="AB14">INDEX(H:H, 14 + INT((ROW()-14)/8)*8)</f>
        <v>-4</v>
      </c>
      <c r="AC14" s="1" cm="1">
        <f t="array" ref="AC14">INDEX(I:I, 14 + INT((ROW()-14)/8)*8)</f>
        <v>-4</v>
      </c>
      <c r="AD14" s="1">
        <f>N14*(1-N14)</f>
        <v>2.466509291360048E-3</v>
      </c>
      <c r="AE14" s="1">
        <f xml:space="preserve"> O14*(1-O14)</f>
        <v>6.6480566707900332E-3</v>
      </c>
      <c r="AF14" s="1">
        <v>1</v>
      </c>
      <c r="AG14" s="1">
        <f>J14</f>
        <v>0</v>
      </c>
      <c r="AH14" s="1">
        <f>K14</f>
        <v>0</v>
      </c>
      <c r="AI14" s="1"/>
      <c r="AJ14" s="1"/>
      <c r="AK14" s="1">
        <v>1</v>
      </c>
      <c r="AL14" s="1">
        <f>J14</f>
        <v>0</v>
      </c>
      <c r="AM14" s="8">
        <f>K14</f>
        <v>0</v>
      </c>
      <c r="AN14" s="1">
        <f>S14*T14*AB14*AD14*AF14</f>
        <v>-6.4778865399595992E-6</v>
      </c>
      <c r="AO14" s="1">
        <f>S14*T14*AB14*AD14*AG14</f>
        <v>0</v>
      </c>
      <c r="AP14" s="1">
        <f>S14*T14*AB14*AD14*AH14</f>
        <v>0</v>
      </c>
      <c r="AQ14" s="1">
        <f>S14*T14*AC14*AE14*AK14</f>
        <v>-1.7460042407078417E-5</v>
      </c>
      <c r="AR14" s="1">
        <f>S14*T14*AC14*AE14*AL14</f>
        <v>0</v>
      </c>
      <c r="AS14" s="8">
        <f>S14*T14*AC14*AE14*AM14</f>
        <v>0</v>
      </c>
      <c r="AT14" s="1"/>
    </row>
    <row r="15" spans="1:47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3">
        <v>0</v>
      </c>
      <c r="K15" s="3">
        <v>1</v>
      </c>
      <c r="L15" s="1" cm="1">
        <f t="array" ref="L15">INDEX(B:B, 14 + INT((ROW()-14)/8)*8)*J15
+ INDEX(C:C, 14 + INT((ROW()-14)/8)*8)*K15
+ INDEX(A:A, 14 + INT((ROW()-14)/8)*8)</f>
        <v>-6</v>
      </c>
      <c r="M15" s="1" cm="1">
        <f t="array" ref="M15">INDEX(E:E, 14 + INT((ROW()-14)/8)*8)*J15
+ INDEX(F:F, 14 + INT((ROW()-14)/8)*8)*K15
+ INDEX(D:D, 14 + INT((ROW()-14)/8)*8)</f>
        <v>1</v>
      </c>
      <c r="N15" s="1">
        <f t="shared" ref="N15:N17" si="0">1/(1+EXP(-L15))</f>
        <v>2.4726231566347743E-3</v>
      </c>
      <c r="O15" s="1">
        <f t="shared" ref="O15:O17" si="1">1/(1+EXP(-M15))</f>
        <v>0.7310585786300049</v>
      </c>
      <c r="P15" s="1" cm="1">
        <f t="array" ref="P15">INDEX(H:H, 14 + INT((ROW()-14)/8)*8)*N15
+ INDEX(I:I, 14 + INT((ROW()-14)/8)*8)*O15
+ INDEX(G:G, 14 + INT((ROW()-14)/8)*8)</f>
        <v>-2.9341248071465587</v>
      </c>
      <c r="Q15" s="1">
        <f t="shared" ref="Q15:Q17" si="2">1/(1+EXP(-P15))</f>
        <v>5.0492203308799902E-2</v>
      </c>
      <c r="R15" s="8">
        <f>($C$5-Q15)^2</f>
        <v>0.90156505597737746</v>
      </c>
      <c r="S15" s="1">
        <f>2*(Q15-$C$5)</f>
        <v>-1.8990155933824002</v>
      </c>
      <c r="T15" s="1">
        <f t="shared" ref="T15:T17" si="3">Q15*(1-Q15)</f>
        <v>4.7942740713822721E-2</v>
      </c>
      <c r="U15" s="1">
        <v>1</v>
      </c>
      <c r="V15" s="1">
        <f t="shared" ref="V15:V17" si="4">N15</f>
        <v>2.4726231566347743E-3</v>
      </c>
      <c r="W15" s="8">
        <f t="shared" ref="W15:W17" si="5">O15</f>
        <v>0.7310585786300049</v>
      </c>
      <c r="X15" s="1">
        <f t="shared" ref="X15:X17" si="6">S15*T15*U15</f>
        <v>-9.1044012205038619E-2</v>
      </c>
      <c r="Y15" s="1">
        <f t="shared" ref="Y15:Y17" si="7">S15*T15*V15</f>
        <v>-2.2511753285111752E-4</v>
      </c>
      <c r="Z15" s="8">
        <f t="shared" ref="Z15:Z17" si="8">S15*T15*W15</f>
        <v>-6.6558506155388344E-2</v>
      </c>
      <c r="AA15" s="1">
        <f>2*(Q15-$C$5)</f>
        <v>-1.8990155933824002</v>
      </c>
      <c r="AB15" s="1" cm="1">
        <f t="array" ref="AB15">INDEX(H:H, 14 + INT((ROW()-14)/8)*8)</f>
        <v>-4</v>
      </c>
      <c r="AC15" s="1" cm="1">
        <f t="array" ref="AC15">INDEX(I:I, 14 + INT((ROW()-14)/8)*8)</f>
        <v>-4</v>
      </c>
      <c r="AD15" s="1">
        <f t="shared" ref="AD15:AD17" si="9">N15*(1-N15)</f>
        <v>2.466509291360048E-3</v>
      </c>
      <c r="AE15" s="1">
        <f t="shared" ref="AE15:AE17" si="10" xml:space="preserve"> O15*(1-O15)</f>
        <v>0.19661193324148185</v>
      </c>
      <c r="AF15" s="1">
        <v>1</v>
      </c>
      <c r="AG15" s="1">
        <f t="shared" ref="AG15:AG17" si="11">J15</f>
        <v>0</v>
      </c>
      <c r="AH15" s="1">
        <f t="shared" ref="AH15:AH17" si="12">K15</f>
        <v>1</v>
      </c>
      <c r="AI15" s="1"/>
      <c r="AJ15" s="1"/>
      <c r="AK15" s="1">
        <v>1</v>
      </c>
      <c r="AL15" s="1">
        <f t="shared" ref="AL15:AL17" si="13">J15</f>
        <v>0</v>
      </c>
      <c r="AM15" s="8">
        <f t="shared" ref="AM15:AM17" si="14">K15</f>
        <v>1</v>
      </c>
      <c r="AN15" s="1">
        <f t="shared" ref="AN15:AN17" si="15">S15*T15*AB15*AD15*AF15</f>
        <v>8.9824360810570149E-4</v>
      </c>
      <c r="AO15" s="1">
        <f t="shared" ref="AO15:AO17" si="16">S15*T15*AB15*AD15*AG15</f>
        <v>0</v>
      </c>
      <c r="AP15" s="1">
        <f t="shared" ref="AP15:AP17" si="17">S15*T15*AB15*AD15*AH15</f>
        <v>8.9824360810570149E-4</v>
      </c>
      <c r="AQ15" s="1">
        <f t="shared" ref="AQ15:AQ17" si="18">S15*T15*AC15*AE15*AK15</f>
        <v>7.1601356998774845E-2</v>
      </c>
      <c r="AR15" s="1">
        <f t="shared" ref="AR15:AR17" si="19">S15*T15*AC15*AE15*AL15</f>
        <v>0</v>
      </c>
      <c r="AS15" s="8">
        <f t="shared" ref="AS15:AS17" si="20">S15*T15*AC15*AE15*AM15</f>
        <v>7.1601356998774845E-2</v>
      </c>
      <c r="AT15" s="1"/>
    </row>
    <row r="16" spans="1:47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3">
        <v>1</v>
      </c>
      <c r="K16" s="3">
        <v>0</v>
      </c>
      <c r="L16" s="1" cm="1">
        <f t="array" ref="L16">INDEX(B:B, 14 + INT((ROW()-14)/8)*8)*J16
+ INDEX(C:C, 14 + INT((ROW()-14)/8)*8)*K16
+ INDEX(A:A, 14 + INT((ROW()-14)/8)*8)</f>
        <v>-2</v>
      </c>
      <c r="M16" s="1" cm="1">
        <f t="array" ref="M16">INDEX(E:E, 14 + INT((ROW()-14)/8)*8)*J16
+ INDEX(F:F, 14 + INT((ROW()-14)/8)*8)*K16
+ INDEX(D:D, 14 + INT((ROW()-14)/8)*8)</f>
        <v>1</v>
      </c>
      <c r="N16" s="1">
        <f t="shared" si="0"/>
        <v>0.11920292202211755</v>
      </c>
      <c r="O16" s="1">
        <f t="shared" si="1"/>
        <v>0.7310585786300049</v>
      </c>
      <c r="P16" s="1" cm="1">
        <f t="array" ref="P16">INDEX(H:H, 14 + INT((ROW()-14)/8)*8)*N16
+ INDEX(I:I, 14 + INT((ROW()-14)/8)*8)*O16
+ INDEX(G:G, 14 + INT((ROW()-14)/8)*8)</f>
        <v>-3.4010460026084899</v>
      </c>
      <c r="Q16" s="1">
        <f t="shared" si="2"/>
        <v>3.2262790523602418E-2</v>
      </c>
      <c r="R16" s="8">
        <f>($C$6-Q16)^2</f>
        <v>0.93651530660516513</v>
      </c>
      <c r="S16" s="1">
        <f>2*(Q16-$C$6)</f>
        <v>-1.9354744189527953</v>
      </c>
      <c r="T16" s="1">
        <f t="shared" si="3"/>
        <v>3.1221902871232568E-2</v>
      </c>
      <c r="U16" s="1">
        <v>1</v>
      </c>
      <c r="V16" s="1">
        <f t="shared" si="4"/>
        <v>0.11920292202211755</v>
      </c>
      <c r="W16" s="8">
        <f t="shared" si="5"/>
        <v>0.7310585786300049</v>
      </c>
      <c r="X16" s="1">
        <f t="shared" si="6"/>
        <v>-6.0429194318299462E-2</v>
      </c>
      <c r="Y16" s="1">
        <f t="shared" si="7"/>
        <v>-7.2033365381836394E-3</v>
      </c>
      <c r="Z16" s="8">
        <f t="shared" si="8"/>
        <v>-4.4177280906092374E-2</v>
      </c>
      <c r="AA16" s="1">
        <f>2*(Q16-$C$6)</f>
        <v>-1.9354744189527953</v>
      </c>
      <c r="AB16" s="1" cm="1">
        <f t="array" ref="AB16">INDEX(H:H, 14 + INT((ROW()-14)/8)*8)</f>
        <v>-4</v>
      </c>
      <c r="AC16" s="1" cm="1">
        <f t="array" ref="AC16">INDEX(I:I, 14 + INT((ROW()-14)/8)*8)</f>
        <v>-4</v>
      </c>
      <c r="AD16" s="1">
        <f t="shared" si="9"/>
        <v>0.10499358540350651</v>
      </c>
      <c r="AE16" s="1">
        <f t="shared" si="10"/>
        <v>0.19661193324148185</v>
      </c>
      <c r="AF16" s="1">
        <v>1</v>
      </c>
      <c r="AG16" s="1">
        <f t="shared" si="11"/>
        <v>1</v>
      </c>
      <c r="AH16" s="1">
        <f t="shared" si="12"/>
        <v>0</v>
      </c>
      <c r="AI16" s="1"/>
      <c r="AJ16" s="1"/>
      <c r="AK16" s="1">
        <v>1</v>
      </c>
      <c r="AL16" s="1">
        <f t="shared" si="13"/>
        <v>1</v>
      </c>
      <c r="AM16" s="8">
        <f t="shared" si="14"/>
        <v>0</v>
      </c>
      <c r="AN16" s="1">
        <f t="shared" si="15"/>
        <v>2.5378711098093858E-2</v>
      </c>
      <c r="AO16" s="1">
        <f t="shared" si="16"/>
        <v>2.5378711098093858E-2</v>
      </c>
      <c r="AP16" s="1">
        <f t="shared" si="17"/>
        <v>0</v>
      </c>
      <c r="AQ16" s="1">
        <f t="shared" si="18"/>
        <v>4.7524402876584111E-2</v>
      </c>
      <c r="AR16" s="1">
        <f t="shared" si="19"/>
        <v>4.7524402876584111E-2</v>
      </c>
      <c r="AS16" s="8">
        <f t="shared" si="20"/>
        <v>0</v>
      </c>
      <c r="AT16" s="1"/>
    </row>
    <row r="17" spans="1:47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3">
        <v>1</v>
      </c>
      <c r="K17" s="3">
        <v>1</v>
      </c>
      <c r="L17" s="1" cm="1">
        <f t="array" ref="L17">INDEX(B:B, 14 + INT((ROW()-14)/8)*8)*J17
+ INDEX(C:C, 14 + INT((ROW()-14)/8)*8)*K17
+ INDEX(A:A, 14 + INT((ROW()-14)/8)*8)</f>
        <v>-2</v>
      </c>
      <c r="M17" s="1" cm="1">
        <f t="array" ref="M17">INDEX(E:E, 14 + INT((ROW()-14)/8)*8)*J17
+ INDEX(F:F, 14 + INT((ROW()-14)/8)*8)*K17
+ INDEX(D:D, 14 + INT((ROW()-14)/8)*8)</f>
        <v>-3</v>
      </c>
      <c r="N17" s="1">
        <f t="shared" si="0"/>
        <v>0.11920292202211755</v>
      </c>
      <c r="O17" s="1">
        <f t="shared" si="1"/>
        <v>4.7425873177566781E-2</v>
      </c>
      <c r="P17" s="1" cm="1">
        <f t="array" ref="P17">INDEX(H:H, 14 + INT((ROW()-14)/8)*8)*N17
+ INDEX(I:I, 14 + INT((ROW()-14)/8)*8)*O17
+ INDEX(G:G, 14 + INT((ROW()-14)/8)*8)</f>
        <v>-0.66651518079873728</v>
      </c>
      <c r="Q17" s="1">
        <f t="shared" si="2"/>
        <v>0.33927758873782382</v>
      </c>
      <c r="R17" s="8">
        <f>($C$7-Q17)^2</f>
        <v>0.11510928221975192</v>
      </c>
      <c r="S17" s="1">
        <f>2*(Q17-$C$7)</f>
        <v>0.67855517747564764</v>
      </c>
      <c r="T17" s="1">
        <f t="shared" si="3"/>
        <v>0.22416830651807187</v>
      </c>
      <c r="U17" s="1">
        <v>1</v>
      </c>
      <c r="V17" s="1">
        <f t="shared" si="4"/>
        <v>0.11920292202211755</v>
      </c>
      <c r="W17" s="8">
        <f t="shared" si="5"/>
        <v>4.7425873177566781E-2</v>
      </c>
      <c r="X17" s="1">
        <f t="shared" si="6"/>
        <v>0.15211056501378564</v>
      </c>
      <c r="Y17" s="1">
        <f t="shared" si="7"/>
        <v>1.813202382007853E-2</v>
      </c>
      <c r="Z17" s="8">
        <f t="shared" si="8"/>
        <v>7.2139763653118246E-3</v>
      </c>
      <c r="AA17" s="1">
        <f>2*(Q17-$C$7)</f>
        <v>0.67855517747564764</v>
      </c>
      <c r="AB17" s="1" cm="1">
        <f t="array" ref="AB17">INDEX(H:H, 14 + INT((ROW()-14)/8)*8)</f>
        <v>-4</v>
      </c>
      <c r="AC17" s="1" cm="1">
        <f t="array" ref="AC17">INDEX(I:I, 14 + INT((ROW()-14)/8)*8)</f>
        <v>-4</v>
      </c>
      <c r="AD17" s="1">
        <f t="shared" si="9"/>
        <v>0.10499358540350651</v>
      </c>
      <c r="AE17" s="1">
        <f t="shared" si="10"/>
        <v>4.5176659730912137E-2</v>
      </c>
      <c r="AF17" s="1">
        <v>1</v>
      </c>
      <c r="AG17" s="1">
        <f t="shared" si="11"/>
        <v>1</v>
      </c>
      <c r="AH17" s="1">
        <f t="shared" si="12"/>
        <v>1</v>
      </c>
      <c r="AI17" s="1"/>
      <c r="AJ17" s="1"/>
      <c r="AK17" s="1">
        <v>1</v>
      </c>
      <c r="AL17" s="1">
        <f t="shared" si="13"/>
        <v>1</v>
      </c>
      <c r="AM17" s="8">
        <f t="shared" si="14"/>
        <v>1</v>
      </c>
      <c r="AN17" s="1">
        <f t="shared" si="15"/>
        <v>-6.388253439420212E-2</v>
      </c>
      <c r="AO17" s="1">
        <f t="shared" si="16"/>
        <v>-6.388253439420212E-2</v>
      </c>
      <c r="AP17" s="1">
        <f t="shared" si="17"/>
        <v>-6.388253439420212E-2</v>
      </c>
      <c r="AQ17" s="1">
        <f t="shared" si="18"/>
        <v>-2.7487388948418331E-2</v>
      </c>
      <c r="AR17" s="1">
        <f t="shared" si="19"/>
        <v>-2.7487388948418331E-2</v>
      </c>
      <c r="AS17" s="8">
        <f t="shared" si="20"/>
        <v>-2.7487388948418331E-2</v>
      </c>
      <c r="AT17" s="1"/>
    </row>
    <row r="18" spans="1:47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46">
        <f>SUM(R14:R17)</f>
        <v>1.9535240522712591</v>
      </c>
      <c r="S18" s="1"/>
      <c r="T18" s="1"/>
      <c r="U18" s="1"/>
      <c r="V18" s="1"/>
      <c r="W18" s="1"/>
      <c r="X18" s="1">
        <f>AVERAGE(X14:X17)</f>
        <v>3.2348573394651997E-4</v>
      </c>
      <c r="Y18" s="1">
        <f>AVERAGE(Y14:Y17)</f>
        <v>2.6762983087369008E-3</v>
      </c>
      <c r="Z18" s="1">
        <f>AVERAGE(Z14:Z17)</f>
        <v>-2.5717405168160561E-2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>
        <f>AVERAGE(AN14:AN17)</f>
        <v>-9.4030143936356305E-3</v>
      </c>
      <c r="AO18" s="1">
        <f>AVERAGE(AO14:AO17)</f>
        <v>-9.6259558240270656E-3</v>
      </c>
      <c r="AP18" s="1">
        <f xml:space="preserve"> AVERAGE(AP14:AP17)</f>
        <v>-1.5746072696524106E-2</v>
      </c>
      <c r="AQ18" s="1">
        <f>AVERAGE(AQ14:AQ17)</f>
        <v>2.2905227721133386E-2</v>
      </c>
      <c r="AR18" s="1">
        <f>AVERAGE(AR14:AR17)</f>
        <v>5.0092534820414449E-3</v>
      </c>
      <c r="AS18" s="1">
        <f>AVERAGE(AS14:AS17)</f>
        <v>1.1028492012589129E-2</v>
      </c>
      <c r="AT18" s="1"/>
      <c r="AU18" s="1"/>
    </row>
    <row r="19" spans="1:47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7" ht="15" thickBot="1" x14ac:dyDescent="0.35">
      <c r="A20" s="1" t="s">
        <v>38</v>
      </c>
      <c r="B20" s="1">
        <v>1</v>
      </c>
      <c r="C20" s="1"/>
      <c r="D20" s="1"/>
      <c r="E20" s="1"/>
      <c r="F20" s="1"/>
      <c r="G20" s="1"/>
      <c r="H20" s="1"/>
      <c r="I20" s="1"/>
      <c r="J20" s="30" t="s">
        <v>7</v>
      </c>
      <c r="K20" s="31"/>
      <c r="L20" s="30" t="s">
        <v>8</v>
      </c>
      <c r="M20" s="31"/>
      <c r="N20" s="30" t="s">
        <v>9</v>
      </c>
      <c r="O20" s="31"/>
      <c r="P20" s="1"/>
      <c r="Q20" s="9" t="s">
        <v>10</v>
      </c>
      <c r="R20" s="10" t="s">
        <v>11</v>
      </c>
      <c r="S20" s="1"/>
      <c r="T20" s="11"/>
      <c r="U20" s="23" t="s">
        <v>13</v>
      </c>
      <c r="V20" s="24"/>
      <c r="W20" s="26"/>
      <c r="X20" s="32" t="s">
        <v>12</v>
      </c>
      <c r="Y20" s="33"/>
      <c r="Z20" s="34"/>
      <c r="AA20" s="35"/>
      <c r="AB20" s="25"/>
      <c r="AC20" s="21"/>
      <c r="AD20" s="22"/>
      <c r="AE20" s="11"/>
      <c r="AF20" s="11"/>
      <c r="AG20" s="23" t="s">
        <v>44</v>
      </c>
      <c r="AH20" s="24"/>
      <c r="AI20" s="25"/>
      <c r="AJ20" s="17"/>
      <c r="AK20" s="17"/>
      <c r="AL20" s="23" t="s">
        <v>45</v>
      </c>
      <c r="AM20" s="24"/>
      <c r="AN20" s="26"/>
      <c r="AO20" s="27" t="s">
        <v>12</v>
      </c>
      <c r="AP20" s="28"/>
      <c r="AQ20" s="28"/>
      <c r="AR20" s="28"/>
      <c r="AS20" s="28"/>
      <c r="AT20" s="29"/>
    </row>
    <row r="21" spans="1:47" ht="15" thickBot="1" x14ac:dyDescent="0.35">
      <c r="A21" s="12" t="s">
        <v>14</v>
      </c>
      <c r="B21" s="12" t="s">
        <v>15</v>
      </c>
      <c r="C21" s="12" t="s">
        <v>16</v>
      </c>
      <c r="D21" s="12" t="s">
        <v>17</v>
      </c>
      <c r="E21" s="12" t="s">
        <v>18</v>
      </c>
      <c r="F21" s="12" t="s">
        <v>19</v>
      </c>
      <c r="G21" s="12" t="s">
        <v>20</v>
      </c>
      <c r="H21" s="12" t="s">
        <v>21</v>
      </c>
      <c r="I21" s="12" t="s">
        <v>22</v>
      </c>
      <c r="J21" s="12" t="s">
        <v>23</v>
      </c>
      <c r="K21" s="12" t="s">
        <v>24</v>
      </c>
      <c r="L21" s="12" t="s">
        <v>39</v>
      </c>
      <c r="M21" s="12" t="s">
        <v>40</v>
      </c>
      <c r="N21" s="12" t="s">
        <v>41</v>
      </c>
      <c r="O21" s="12" t="s">
        <v>42</v>
      </c>
      <c r="P21" s="12" t="s">
        <v>25</v>
      </c>
      <c r="Q21" s="12" t="s">
        <v>26</v>
      </c>
      <c r="R21" s="13" t="s">
        <v>27</v>
      </c>
      <c r="S21" s="12" t="s">
        <v>43</v>
      </c>
      <c r="T21" s="12" t="s">
        <v>31</v>
      </c>
      <c r="U21" s="12" t="s">
        <v>28</v>
      </c>
      <c r="V21" s="12" t="s">
        <v>29</v>
      </c>
      <c r="W21" s="13" t="s">
        <v>30</v>
      </c>
      <c r="X21" s="12" t="s">
        <v>28</v>
      </c>
      <c r="Y21" s="12" t="s">
        <v>29</v>
      </c>
      <c r="Z21" s="13" t="s">
        <v>30</v>
      </c>
      <c r="AA21" s="12" t="s">
        <v>50</v>
      </c>
      <c r="AB21" s="12" t="s">
        <v>48</v>
      </c>
      <c r="AC21" s="12" t="s">
        <v>49</v>
      </c>
      <c r="AD21" s="12" t="s">
        <v>46</v>
      </c>
      <c r="AE21" s="12" t="s">
        <v>47</v>
      </c>
      <c r="AF21" s="12" t="s">
        <v>32</v>
      </c>
      <c r="AG21" s="12" t="s">
        <v>33</v>
      </c>
      <c r="AH21" s="12" t="s">
        <v>34</v>
      </c>
      <c r="AI21" s="12"/>
      <c r="AJ21" s="12"/>
      <c r="AK21" s="12" t="s">
        <v>35</v>
      </c>
      <c r="AL21" s="12" t="s">
        <v>36</v>
      </c>
      <c r="AM21" s="13" t="s">
        <v>37</v>
      </c>
      <c r="AN21" s="12" t="s">
        <v>32</v>
      </c>
      <c r="AO21" s="12" t="s">
        <v>33</v>
      </c>
      <c r="AP21" s="12" t="s">
        <v>34</v>
      </c>
      <c r="AQ21" s="12" t="s">
        <v>35</v>
      </c>
      <c r="AR21" s="12" t="s">
        <v>36</v>
      </c>
      <c r="AS21" s="13" t="s">
        <v>37</v>
      </c>
      <c r="AT21" s="1"/>
    </row>
    <row r="22" spans="1:47" ht="15" thickBot="1" x14ac:dyDescent="0.35">
      <c r="A22" s="3" cm="1">
        <f t="array" ref="A22">INDEX(A:A, 14 + INT((ROW()-18)/8)*8)
 - $C$9 *
 INDEX(AN:AN, 18 + INT((ROW()-18)/8)*8)</f>
        <v>-5.9529849280318219</v>
      </c>
      <c r="B22" s="3" cm="1">
        <f t="array" ref="B22">INDEX(B:B, 14 + INT((ROW()-18)/8)*8)
 - $C$9 *
 INDEX(AO:AO, 18 + INT((ROW()-18)/8)*8)</f>
        <v>4.0481297791201349</v>
      </c>
      <c r="C22" s="3" cm="1">
        <f t="array" ref="C22">INDEX(C:C, 14 + INT((ROW()-18)/8)*8)
 - $C$9 *
 INDEX(AP:AP, 18 + INT((ROW()-18)/8)*8)</f>
        <v>7.8730363482620525E-2</v>
      </c>
      <c r="D22" s="3" cm="1">
        <f t="array" ref="D22">INDEX(D:D, 14 + INT((ROW()-18)/8)*8)
 - $C$9 *
 INDEX(AQ:AQ, 18 + INT((ROW()-18)/8)*8)</f>
        <v>4.8854738613943329</v>
      </c>
      <c r="E22" s="3" cm="1">
        <f t="array" ref="E22">INDEX(E:E, 14 + INT((ROW()-18)/8)*8)
 - $C$9 *
 INDEX(AR:AR, 18 + INT((ROW()-18)/8)*8)</f>
        <v>-4.0250462674102074</v>
      </c>
      <c r="F22" s="3" cm="1">
        <f t="array" ref="F22">INDEX(F:F, 14 + INT((ROW()-18)/8)*8)
 - $C$9 *
 INDEX(AS:AS, 18 + INT((ROW()-18)/8)*8)</f>
        <v>-4.055142460062946</v>
      </c>
      <c r="G22" s="3" cm="1">
        <f t="array" ref="G22">INDEX(G:G, 14 + INT((ROW()-18)/8)*8)
 - $C$9 *
 INDEX(X:X, 18 + INT((ROW()-18)/8)*8)</f>
        <v>-1.6174286697325999E-3</v>
      </c>
      <c r="H22" s="3" cm="1">
        <f t="array" ref="H22">INDEX(H:H, 14 + INT((ROW()-18)/8)*8)
 - $C$9 *
 INDEX(Y:Y, 18 + INT((ROW()-18)/8)*8)</f>
        <v>-4.0133814915436847</v>
      </c>
      <c r="I22" s="3" cm="1">
        <f t="array" ref="I22">INDEX(I:I, 14 + INT((ROW()-18)/8)*8)
 - $C$9 *
 INDEX(Z:Z, 18 + INT((ROW()-18)/8)*8)</f>
        <v>-3.8714129741591972</v>
      </c>
      <c r="J22" s="3">
        <v>0</v>
      </c>
      <c r="K22" s="3">
        <v>0</v>
      </c>
      <c r="L22" s="1" cm="1">
        <f t="array" ref="L22">INDEX(B:B, 14 + INT((ROW()-14)/8)*8)*J22
+ INDEX(C:C, 14 + INT((ROW()-14)/8)*8)*K22
+ INDEX(A:A, 14 + INT((ROW()-14)/8)*8)</f>
        <v>-5.9529849280318219</v>
      </c>
      <c r="M22" s="1" cm="1">
        <f t="array" ref="M22">INDEX(E:E, 14 + INT((ROW()-14)/8)*8)*J22
+ INDEX(F:F, 14 + INT((ROW()-14)/8)*8)*K22
+ INDEX(D:D, 14 + INT((ROW()-14)/8)*8)</f>
        <v>4.8854738613943329</v>
      </c>
      <c r="N22" s="1">
        <f>1/(1+EXP(-L22))</f>
        <v>2.5913413729025609E-3</v>
      </c>
      <c r="O22" s="1">
        <f>1/(1+EXP(-M22))</f>
        <v>0.99250111550782361</v>
      </c>
      <c r="P22" s="1" cm="1">
        <f t="array" ref="P22">INDEX(H:H, 14 + INT((ROW()-14)/8)*8)*N22
+ INDEX(I:I, 14 + INT((ROW()-14)/8)*8)*O22
+ INDEX(G:G, 14 + INT((ROW()-14)/8)*8)</f>
        <v>-3.8543991656184753</v>
      </c>
      <c r="Q22" s="1">
        <f>1/(1+EXP(-P22))</f>
        <v>2.074678083786272E-2</v>
      </c>
      <c r="R22" s="8">
        <f>($C$4-Q22)^2</f>
        <v>4.3042891513430775E-4</v>
      </c>
      <c r="S22" s="1">
        <f>2*(Q22-$C$4)</f>
        <v>4.1493561675725439E-2</v>
      </c>
      <c r="T22" s="1">
        <f>Q22*(1-Q22)</f>
        <v>2.0316351922728411E-2</v>
      </c>
      <c r="U22" s="1">
        <v>1</v>
      </c>
      <c r="V22" s="1">
        <f>N22</f>
        <v>2.5913413729025609E-3</v>
      </c>
      <c r="W22" s="8">
        <f>O22</f>
        <v>0.99250111550782361</v>
      </c>
      <c r="X22" s="1">
        <f>S22*T22*U22</f>
        <v>8.4299780153147439E-4</v>
      </c>
      <c r="Y22" s="1">
        <f>S22*T22*V22</f>
        <v>2.1844950803744114E-6</v>
      </c>
      <c r="Z22" s="8">
        <f>S22*T22*W22</f>
        <v>8.3667625839063122E-4</v>
      </c>
      <c r="AA22" s="1">
        <f>2*(Q22-$C$4)</f>
        <v>4.1493561675725439E-2</v>
      </c>
      <c r="AB22" s="1" cm="1">
        <f t="array" ref="AB22">INDEX(H:H, 14 + INT((ROW()-14)/8)*8)</f>
        <v>-4.0133814915436847</v>
      </c>
      <c r="AC22" s="1" cm="1">
        <f t="array" ref="AC22">INDEX(I:I, 14 + INT((ROW()-14)/8)*8)</f>
        <v>-3.8714129741591972</v>
      </c>
      <c r="AD22" s="1">
        <f>N22*(1-N22)</f>
        <v>2.5846263227916446E-3</v>
      </c>
      <c r="AE22" s="1">
        <f xml:space="preserve"> O22*(1-O22)</f>
        <v>7.4426512235493906E-3</v>
      </c>
      <c r="AF22" s="1">
        <v>1</v>
      </c>
      <c r="AG22" s="1">
        <f>J22</f>
        <v>0</v>
      </c>
      <c r="AH22" s="1">
        <f>K22</f>
        <v>0</v>
      </c>
      <c r="AI22" s="1"/>
      <c r="AJ22" s="1"/>
      <c r="AK22" s="1">
        <v>1</v>
      </c>
      <c r="AL22" s="1">
        <f>J22</f>
        <v>0</v>
      </c>
      <c r="AM22" s="8">
        <f>K22</f>
        <v>0</v>
      </c>
      <c r="AN22" s="1">
        <f>S22*T22*AB22*AD22*AF22</f>
        <v>-8.7444932844411107E-6</v>
      </c>
      <c r="AO22" s="1">
        <f>S22*T22*AB22*AD22*AG22</f>
        <v>0</v>
      </c>
      <c r="AP22" s="1">
        <f>S22*T22*AB22*AD22*AH22</f>
        <v>0</v>
      </c>
      <c r="AQ22" s="1">
        <f>S22*T22*AC22*AE22*AK22</f>
        <v>-2.4289781651338291E-5</v>
      </c>
      <c r="AR22" s="1">
        <f>S22*T22*AC22*AE22*AL22</f>
        <v>0</v>
      </c>
      <c r="AS22" s="8">
        <f>S22*T22*AC22*AE22*AM22</f>
        <v>0</v>
      </c>
      <c r="AT22" s="1"/>
    </row>
    <row r="23" spans="1:47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3">
        <v>0</v>
      </c>
      <c r="K23" s="3">
        <v>1</v>
      </c>
      <c r="L23" s="1" cm="1">
        <f t="array" ref="L23">INDEX(B:B, 14 + INT((ROW()-14)/8)*8)*J23
+ INDEX(C:C, 14 + INT((ROW()-14)/8)*8)*K23
+ INDEX(A:A, 14 + INT((ROW()-14)/8)*8)</f>
        <v>-5.8742545645492017</v>
      </c>
      <c r="M23" s="1" cm="1">
        <f t="array" ref="M23">INDEX(E:E, 14 + INT((ROW()-14)/8)*8)*J23
+ INDEX(F:F, 14 + INT((ROW()-14)/8)*8)*K23
+ INDEX(D:D, 14 + INT((ROW()-14)/8)*8)</f>
        <v>0.83033140133138694</v>
      </c>
      <c r="N23" s="1">
        <f t="shared" ref="N23:N25" si="21">1/(1+EXP(-L23))</f>
        <v>2.8030098011571658E-3</v>
      </c>
      <c r="O23" s="1">
        <f t="shared" ref="O23:O25" si="22">1/(1+EXP(-M23))</f>
        <v>0.69642499833253391</v>
      </c>
      <c r="P23" s="1" cm="1">
        <f t="array" ref="P23">INDEX(H:H, 14 + INT((ROW()-14)/8)*8)*N23
+ INDEX(I:I, 14 + INT((ROW()-14)/8)*8)*O23
+ INDEX(G:G, 14 + INT((ROW()-14)/8)*8)</f>
        <v>-2.7090157503996815</v>
      </c>
      <c r="Q23" s="1">
        <f t="shared" ref="Q23:Q25" si="23">1/(1+EXP(-P23))</f>
        <v>6.2443448739070519E-2</v>
      </c>
      <c r="R23" s="8">
        <f>($C$5-Q23)^2</f>
        <v>0.87901228681228794</v>
      </c>
      <c r="S23" s="1">
        <f>2*(Q23-$C$5)</f>
        <v>-1.875113102521859</v>
      </c>
      <c r="T23" s="1">
        <f t="shared" ref="T23:T25" si="24">Q23*(1-Q23)</f>
        <v>5.8544264448641595E-2</v>
      </c>
      <c r="U23" s="1">
        <v>1</v>
      </c>
      <c r="V23" s="1">
        <f t="shared" ref="V23:V25" si="25">N23</f>
        <v>2.8030098011571658E-3</v>
      </c>
      <c r="W23" s="8">
        <f t="shared" ref="W23:W25" si="26">O23</f>
        <v>0.69642499833253391</v>
      </c>
      <c r="X23" s="1">
        <f t="shared" ref="X23:X25" si="27">S23*T23*U23</f>
        <v>-0.10977711734515251</v>
      </c>
      <c r="Y23" s="1">
        <f t="shared" ref="Y23:Y25" si="28">S23*T23*V23</f>
        <v>-3.0770633586124277E-4</v>
      </c>
      <c r="Z23" s="8">
        <f t="shared" ref="Z23:Z25" si="29">S23*T23*W23</f>
        <v>-7.6451528764048218E-2</v>
      </c>
      <c r="AA23" s="1">
        <f>2*(Q23-$C$5)</f>
        <v>-1.875113102521859</v>
      </c>
      <c r="AB23" s="1" cm="1">
        <f t="array" ref="AB23">INDEX(H:H, 14 + INT((ROW()-14)/8)*8)</f>
        <v>-4.0133814915436847</v>
      </c>
      <c r="AC23" s="1" cm="1">
        <f t="array" ref="AC23">INDEX(I:I, 14 + INT((ROW()-14)/8)*8)</f>
        <v>-3.8714129741591972</v>
      </c>
      <c r="AD23" s="1">
        <f t="shared" ref="AD23:AD25" si="30">N23*(1-N23)</f>
        <v>2.7951529372117825E-3</v>
      </c>
      <c r="AE23" s="1">
        <f t="shared" ref="AE23:AE25" si="31" xml:space="preserve"> O23*(1-O23)</f>
        <v>0.21141722003006405</v>
      </c>
      <c r="AF23" s="1">
        <v>1</v>
      </c>
      <c r="AG23" s="1">
        <f t="shared" ref="AG23:AG25" si="32">J23</f>
        <v>0</v>
      </c>
      <c r="AH23" s="1">
        <f t="shared" ref="AH23:AH25" si="33">K23</f>
        <v>1</v>
      </c>
      <c r="AI23" s="1"/>
      <c r="AJ23" s="1"/>
      <c r="AK23" s="1">
        <v>1</v>
      </c>
      <c r="AL23" s="1">
        <f t="shared" ref="AL23:AL25" si="34">J23</f>
        <v>0</v>
      </c>
      <c r="AM23" s="8">
        <f t="shared" ref="AM23:AM25" si="35">K23</f>
        <v>1</v>
      </c>
      <c r="AN23" s="1">
        <f t="shared" ref="AN23:AN25" si="36">S23*T23*AB23*AD23*AF23</f>
        <v>1.2314813560867341E-3</v>
      </c>
      <c r="AO23" s="1">
        <f t="shared" ref="AO23:AO25" si="37">S23*T23*AB23*AD23*AG23</f>
        <v>0</v>
      </c>
      <c r="AP23" s="1">
        <f t="shared" ref="AP23:AP25" si="38">S23*T23*AB23*AD23*AH23</f>
        <v>1.2314813560867341E-3</v>
      </c>
      <c r="AQ23" s="1">
        <f t="shared" ref="AQ23:AQ25" si="39">S23*T23*AC23*AE23*AK23</f>
        <v>8.9850744798217808E-2</v>
      </c>
      <c r="AR23" s="1">
        <f t="shared" ref="AR23:AR25" si="40">S23*T23*AC23*AE23*AL23</f>
        <v>0</v>
      </c>
      <c r="AS23" s="8">
        <f t="shared" ref="AS23:AS25" si="41">S23*T23*AC23*AE23*AM23</f>
        <v>8.9850744798217808E-2</v>
      </c>
      <c r="AT23" s="1"/>
    </row>
    <row r="24" spans="1:47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3">
        <v>1</v>
      </c>
      <c r="K24" s="3">
        <v>0</v>
      </c>
      <c r="L24" s="1" cm="1">
        <f t="array" ref="L24">INDEX(B:B, 14 + INT((ROW()-14)/8)*8)*J24
+ INDEX(C:C, 14 + INT((ROW()-14)/8)*8)*K24
+ INDEX(A:A, 14 + INT((ROW()-14)/8)*8)</f>
        <v>-1.9048551489116869</v>
      </c>
      <c r="M24" s="1" cm="1">
        <f t="array" ref="M24">INDEX(E:E, 14 + INT((ROW()-14)/8)*8)*J24
+ INDEX(F:F, 14 + INT((ROW()-14)/8)*8)*K24
+ INDEX(D:D, 14 + INT((ROW()-14)/8)*8)</f>
        <v>0.86042759398412549</v>
      </c>
      <c r="N24" s="1">
        <f t="shared" si="21"/>
        <v>0.12955995350469904</v>
      </c>
      <c r="O24" s="1">
        <f t="shared" si="22"/>
        <v>0.70274998324022009</v>
      </c>
      <c r="P24" s="1" cm="1">
        <f t="array" ref="P24">INDEX(H:H, 14 + INT((ROW()-14)/8)*8)*N24
+ INDEX(I:I, 14 + INT((ROW()-14)/8)*8)*O24
+ INDEX(G:G, 14 + INT((ROW()-14)/8)*8)</f>
        <v>-3.2422263508170985</v>
      </c>
      <c r="Q24" s="1">
        <f t="shared" si="23"/>
        <v>3.7607229355811275E-2</v>
      </c>
      <c r="R24" s="8">
        <f>($C$6-Q24)^2</f>
        <v>0.92619984498819796</v>
      </c>
      <c r="S24" s="1">
        <f>2*(Q24-$C$6)</f>
        <v>-1.9247855412883774</v>
      </c>
      <c r="T24" s="1">
        <f t="shared" si="24"/>
        <v>3.6192925655990679E-2</v>
      </c>
      <c r="U24" s="1">
        <v>1</v>
      </c>
      <c r="V24" s="1">
        <f t="shared" si="25"/>
        <v>0.12955995350469904</v>
      </c>
      <c r="W24" s="8">
        <f t="shared" si="26"/>
        <v>0.70274998324022009</v>
      </c>
      <c r="X24" s="1">
        <f t="shared" si="27"/>
        <v>-6.9663619999576015E-2</v>
      </c>
      <c r="Y24" s="1">
        <f t="shared" si="28"/>
        <v>-9.0256153681140903E-3</v>
      </c>
      <c r="Z24" s="8">
        <f t="shared" si="29"/>
        <v>-4.8956107787155104E-2</v>
      </c>
      <c r="AA24" s="1">
        <f>2*(Q24-$C$6)</f>
        <v>-1.9247855412883774</v>
      </c>
      <c r="AB24" s="1" cm="1">
        <f t="array" ref="AB24">INDEX(H:H, 14 + INT((ROW()-14)/8)*8)</f>
        <v>-4.0133814915436847</v>
      </c>
      <c r="AC24" s="1" cm="1">
        <f t="array" ref="AC24">INDEX(I:I, 14 + INT((ROW()-14)/8)*8)</f>
        <v>-3.8714129741591972</v>
      </c>
      <c r="AD24" s="1">
        <f t="shared" si="30"/>
        <v>0.11277417195255926</v>
      </c>
      <c r="AE24" s="1">
        <f t="shared" si="31"/>
        <v>0.20889244429609047</v>
      </c>
      <c r="AF24" s="1">
        <v>1</v>
      </c>
      <c r="AG24" s="1">
        <f t="shared" si="32"/>
        <v>1</v>
      </c>
      <c r="AH24" s="1">
        <f t="shared" si="33"/>
        <v>0</v>
      </c>
      <c r="AI24" s="1"/>
      <c r="AJ24" s="1"/>
      <c r="AK24" s="1">
        <v>1</v>
      </c>
      <c r="AL24" s="1">
        <f t="shared" si="34"/>
        <v>1</v>
      </c>
      <c r="AM24" s="8">
        <f t="shared" si="35"/>
        <v>0</v>
      </c>
      <c r="AN24" s="1">
        <f t="shared" si="36"/>
        <v>3.1530156680102089E-2</v>
      </c>
      <c r="AO24" s="1">
        <f t="shared" si="37"/>
        <v>3.1530156680102089E-2</v>
      </c>
      <c r="AP24" s="1">
        <f t="shared" si="38"/>
        <v>0</v>
      </c>
      <c r="AQ24" s="1">
        <f t="shared" si="39"/>
        <v>5.6337590827086344E-2</v>
      </c>
      <c r="AR24" s="1">
        <f t="shared" si="40"/>
        <v>5.6337590827086344E-2</v>
      </c>
      <c r="AS24" s="8">
        <f t="shared" si="41"/>
        <v>0</v>
      </c>
      <c r="AT24" s="1"/>
    </row>
    <row r="25" spans="1:47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3">
        <v>1</v>
      </c>
      <c r="K25" s="3">
        <v>1</v>
      </c>
      <c r="L25" s="1" cm="1">
        <f t="array" ref="L25">INDEX(B:B, 14 + INT((ROW()-14)/8)*8)*J25
+ INDEX(C:C, 14 + INT((ROW()-14)/8)*8)*K25
+ INDEX(A:A, 14 + INT((ROW()-14)/8)*8)</f>
        <v>-1.8261247854290668</v>
      </c>
      <c r="M25" s="1" cm="1">
        <f t="array" ref="M25">INDEX(E:E, 14 + INT((ROW()-14)/8)*8)*J25
+ INDEX(F:F, 14 + INT((ROW()-14)/8)*8)*K25
+ INDEX(D:D, 14 + INT((ROW()-14)/8)*8)</f>
        <v>-3.1947148660788205</v>
      </c>
      <c r="N25" s="1">
        <f t="shared" si="21"/>
        <v>0.13870056900537042</v>
      </c>
      <c r="O25" s="1">
        <f t="shared" si="22"/>
        <v>3.936509686095644E-2</v>
      </c>
      <c r="P25" s="1" cm="1">
        <f t="array" ref="P25">INDEX(H:H, 14 + INT((ROW()-14)/8)*8)*N25
+ INDEX(I:I, 14 + INT((ROW()-14)/8)*8)*O25
+ INDEX(G:G, 14 + INT((ROW()-14)/8)*8)</f>
        <v>-0.71067427189900423</v>
      </c>
      <c r="Q25" s="1">
        <f t="shared" si="23"/>
        <v>0.32944986787171293</v>
      </c>
      <c r="R25" s="8">
        <f>($C$7-Q25)^2</f>
        <v>0.1085372154406891</v>
      </c>
      <c r="S25" s="1">
        <f>2*(Q25-$C$7)</f>
        <v>0.65889973574342586</v>
      </c>
      <c r="T25" s="1">
        <f t="shared" si="24"/>
        <v>0.22091265243102381</v>
      </c>
      <c r="U25" s="1">
        <v>1</v>
      </c>
      <c r="V25" s="1">
        <f t="shared" si="25"/>
        <v>0.13870056900537042</v>
      </c>
      <c r="W25" s="8">
        <f t="shared" si="26"/>
        <v>3.936509686095644E-2</v>
      </c>
      <c r="X25" s="1">
        <f t="shared" si="27"/>
        <v>0.14555928830918088</v>
      </c>
      <c r="Y25" s="1">
        <f t="shared" si="28"/>
        <v>2.0189156112500151E-2</v>
      </c>
      <c r="Z25" s="8">
        <f t="shared" si="29"/>
        <v>5.7299554833027903E-3</v>
      </c>
      <c r="AA25" s="1">
        <f>2*(Q25-$C$7)</f>
        <v>0.65889973574342586</v>
      </c>
      <c r="AB25" s="1" cm="1">
        <f t="array" ref="AB25">INDEX(H:H, 14 + INT((ROW()-14)/8)*8)</f>
        <v>-4.0133814915436847</v>
      </c>
      <c r="AC25" s="1" cm="1">
        <f t="array" ref="AC25">INDEX(I:I, 14 + INT((ROW()-14)/8)*8)</f>
        <v>-3.8714129741591972</v>
      </c>
      <c r="AD25" s="1">
        <f t="shared" si="30"/>
        <v>0.11946272116295691</v>
      </c>
      <c r="AE25" s="1">
        <f t="shared" si="31"/>
        <v>3.7815486010083957E-2</v>
      </c>
      <c r="AF25" s="1">
        <v>1</v>
      </c>
      <c r="AG25" s="1">
        <f t="shared" si="32"/>
        <v>1</v>
      </c>
      <c r="AH25" s="1">
        <f t="shared" si="33"/>
        <v>1</v>
      </c>
      <c r="AI25" s="1"/>
      <c r="AJ25" s="1"/>
      <c r="AK25" s="1">
        <v>1</v>
      </c>
      <c r="AL25" s="1">
        <f t="shared" si="34"/>
        <v>1</v>
      </c>
      <c r="AM25" s="8">
        <f t="shared" si="35"/>
        <v>1</v>
      </c>
      <c r="AN25" s="1">
        <f t="shared" si="36"/>
        <v>-6.9788324222180231E-2</v>
      </c>
      <c r="AO25" s="1">
        <f t="shared" si="37"/>
        <v>-6.9788324222180231E-2</v>
      </c>
      <c r="AP25" s="1">
        <f t="shared" si="38"/>
        <v>-6.9788324222180231E-2</v>
      </c>
      <c r="AQ25" s="1">
        <f t="shared" si="39"/>
        <v>-2.1309787111007235E-2</v>
      </c>
      <c r="AR25" s="1">
        <f t="shared" si="40"/>
        <v>-2.1309787111007235E-2</v>
      </c>
      <c r="AS25" s="8">
        <f t="shared" si="41"/>
        <v>-2.1309787111007235E-2</v>
      </c>
      <c r="AT25" s="1"/>
    </row>
    <row r="26" spans="1:47" ht="15" customHeight="1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46">
        <f>SUM(R22:R25)</f>
        <v>1.9141797761563095</v>
      </c>
      <c r="S26" s="1"/>
      <c r="T26" s="1"/>
      <c r="U26" s="1"/>
      <c r="V26" s="1"/>
      <c r="W26" s="1"/>
      <c r="X26" s="1">
        <f>AVERAGE(X22:X25)</f>
        <v>-8.259612808504041E-3</v>
      </c>
      <c r="Y26" s="1">
        <f>AVERAGE(Y22:Y25)</f>
        <v>2.7145047259012982E-3</v>
      </c>
      <c r="Z26" s="1">
        <f>AVERAGE(Z22:Z25)</f>
        <v>-2.9710251202377472E-2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>
        <f>AVERAGE(AN22:AN25)</f>
        <v>-9.258857669818963E-3</v>
      </c>
      <c r="AO26" s="1">
        <f>AVERAGE(AO22:AO25)</f>
        <v>-9.5645418855195355E-3</v>
      </c>
      <c r="AP26" s="1">
        <f xml:space="preserve"> AVERAGE(AP22:AP25)</f>
        <v>-1.7139210716523374E-2</v>
      </c>
      <c r="AQ26" s="1">
        <f>AVERAGE(AQ22:AQ25)</f>
        <v>3.1213564683161395E-2</v>
      </c>
      <c r="AR26" s="1">
        <f>AVERAGE(AR22:AR25)</f>
        <v>8.7569509290197772E-3</v>
      </c>
      <c r="AS26" s="1">
        <f>AVERAGE(AS22:AS25)</f>
        <v>1.7135239421802645E-2</v>
      </c>
      <c r="AT26" s="1"/>
    </row>
    <row r="27" spans="1:47" ht="15" customHeight="1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6"/>
      <c r="K27" s="18"/>
      <c r="L27" s="16"/>
      <c r="M27" s="18"/>
      <c r="N27" s="16"/>
      <c r="O27" s="18"/>
      <c r="P27" s="1"/>
      <c r="Q27" s="1"/>
      <c r="R27" s="16"/>
      <c r="S27" s="1"/>
      <c r="T27" s="1"/>
      <c r="U27" s="16"/>
      <c r="V27" s="19"/>
      <c r="W27" s="19"/>
      <c r="X27" s="19"/>
      <c r="Y27" s="19"/>
      <c r="Z27" s="19"/>
      <c r="AA27" s="19"/>
      <c r="AB27" s="18"/>
      <c r="AC27" s="16"/>
      <c r="AD27" s="18"/>
      <c r="AE27" s="1"/>
      <c r="AF27" s="1"/>
      <c r="AG27" s="16"/>
      <c r="AH27" s="19"/>
      <c r="AI27" s="18"/>
      <c r="AJ27" s="16"/>
      <c r="AK27" s="19"/>
      <c r="AL27" s="19"/>
      <c r="AM27" s="19"/>
      <c r="AN27" s="19"/>
      <c r="AO27" s="19"/>
      <c r="AP27" s="19"/>
      <c r="AQ27" s="19"/>
      <c r="AR27" s="19"/>
      <c r="AS27" s="1"/>
      <c r="AT27" s="20"/>
    </row>
    <row r="28" spans="1:47" ht="15" thickBot="1" x14ac:dyDescent="0.35">
      <c r="A28" s="1" t="s">
        <v>38</v>
      </c>
      <c r="B28" s="1">
        <v>2</v>
      </c>
      <c r="C28" s="1"/>
      <c r="D28" s="1"/>
      <c r="E28" s="1"/>
      <c r="F28" s="1"/>
      <c r="G28" s="1"/>
      <c r="H28" s="1"/>
      <c r="I28" s="1"/>
      <c r="J28" s="30" t="s">
        <v>7</v>
      </c>
      <c r="K28" s="31"/>
      <c r="L28" s="30" t="s">
        <v>8</v>
      </c>
      <c r="M28" s="31"/>
      <c r="N28" s="30" t="s">
        <v>9</v>
      </c>
      <c r="O28" s="31"/>
      <c r="P28" s="1"/>
      <c r="Q28" s="9" t="s">
        <v>10</v>
      </c>
      <c r="R28" s="10" t="s">
        <v>11</v>
      </c>
      <c r="S28" s="1"/>
      <c r="T28" s="11"/>
      <c r="U28" s="23" t="s">
        <v>13</v>
      </c>
      <c r="V28" s="24"/>
      <c r="W28" s="26"/>
      <c r="X28" s="32" t="s">
        <v>12</v>
      </c>
      <c r="Y28" s="33"/>
      <c r="Z28" s="34"/>
      <c r="AA28" s="35"/>
      <c r="AB28" s="25"/>
      <c r="AC28" s="21"/>
      <c r="AD28" s="22"/>
      <c r="AE28" s="11"/>
      <c r="AF28" s="11"/>
      <c r="AG28" s="23" t="s">
        <v>44</v>
      </c>
      <c r="AH28" s="24"/>
      <c r="AI28" s="25"/>
      <c r="AJ28" s="17"/>
      <c r="AK28" s="17"/>
      <c r="AL28" s="23" t="s">
        <v>45</v>
      </c>
      <c r="AM28" s="24"/>
      <c r="AN28" s="26"/>
      <c r="AO28" s="27" t="s">
        <v>12</v>
      </c>
      <c r="AP28" s="28"/>
      <c r="AQ28" s="28"/>
      <c r="AR28" s="28"/>
      <c r="AS28" s="28"/>
      <c r="AT28" s="29"/>
    </row>
    <row r="29" spans="1:47" ht="15" thickBot="1" x14ac:dyDescent="0.35">
      <c r="A29" s="12" t="s">
        <v>14</v>
      </c>
      <c r="B29" s="12" t="s">
        <v>15</v>
      </c>
      <c r="C29" s="12" t="s">
        <v>16</v>
      </c>
      <c r="D29" s="12" t="s">
        <v>17</v>
      </c>
      <c r="E29" s="12" t="s">
        <v>18</v>
      </c>
      <c r="F29" s="12" t="s">
        <v>19</v>
      </c>
      <c r="G29" s="12" t="s">
        <v>20</v>
      </c>
      <c r="H29" s="12" t="s">
        <v>21</v>
      </c>
      <c r="I29" s="12" t="s">
        <v>22</v>
      </c>
      <c r="J29" s="12" t="s">
        <v>23</v>
      </c>
      <c r="K29" s="12" t="s">
        <v>24</v>
      </c>
      <c r="L29" s="12" t="s">
        <v>39</v>
      </c>
      <c r="M29" s="12" t="s">
        <v>40</v>
      </c>
      <c r="N29" s="12" t="s">
        <v>41</v>
      </c>
      <c r="O29" s="12" t="s">
        <v>42</v>
      </c>
      <c r="P29" s="12" t="s">
        <v>25</v>
      </c>
      <c r="Q29" s="12" t="s">
        <v>26</v>
      </c>
      <c r="R29" s="13" t="s">
        <v>27</v>
      </c>
      <c r="S29" s="12" t="s">
        <v>43</v>
      </c>
      <c r="T29" s="12" t="s">
        <v>31</v>
      </c>
      <c r="U29" s="12" t="s">
        <v>28</v>
      </c>
      <c r="V29" s="12" t="s">
        <v>29</v>
      </c>
      <c r="W29" s="13" t="s">
        <v>30</v>
      </c>
      <c r="X29" s="12" t="s">
        <v>28</v>
      </c>
      <c r="Y29" s="12" t="s">
        <v>29</v>
      </c>
      <c r="Z29" s="13" t="s">
        <v>30</v>
      </c>
      <c r="AA29" s="12" t="s">
        <v>50</v>
      </c>
      <c r="AB29" s="12" t="s">
        <v>48</v>
      </c>
      <c r="AC29" s="12" t="s">
        <v>49</v>
      </c>
      <c r="AD29" s="12" t="s">
        <v>46</v>
      </c>
      <c r="AE29" s="12" t="s">
        <v>47</v>
      </c>
      <c r="AF29" s="12" t="s">
        <v>32</v>
      </c>
      <c r="AG29" s="12" t="s">
        <v>33</v>
      </c>
      <c r="AH29" s="12" t="s">
        <v>34</v>
      </c>
      <c r="AI29" s="12"/>
      <c r="AJ29" s="12"/>
      <c r="AK29" s="12" t="s">
        <v>35</v>
      </c>
      <c r="AL29" s="12" t="s">
        <v>36</v>
      </c>
      <c r="AM29" s="13" t="s">
        <v>37</v>
      </c>
      <c r="AN29" s="12" t="s">
        <v>32</v>
      </c>
      <c r="AO29" s="12" t="s">
        <v>33</v>
      </c>
      <c r="AP29" s="12" t="s">
        <v>34</v>
      </c>
      <c r="AQ29" s="12" t="s">
        <v>35</v>
      </c>
      <c r="AR29" s="12" t="s">
        <v>36</v>
      </c>
      <c r="AS29" s="13" t="s">
        <v>37</v>
      </c>
      <c r="AT29" s="1"/>
    </row>
    <row r="30" spans="1:47" ht="15" thickBot="1" x14ac:dyDescent="0.35">
      <c r="A30" s="3" cm="1">
        <f t="array" ref="A30">INDEX(A:A, 14 + INT((ROW()-18)/8)*8)
 - $C$9 *
 INDEX(AN:AN, 18 + INT((ROW()-18)/8)*8)</f>
        <v>-5.9066906396827275</v>
      </c>
      <c r="B30" s="3" cm="1">
        <f t="array" ref="B30">INDEX(B:B, 14 + INT((ROW()-18)/8)*8)
 - $C$9 *
 INDEX(AO:AO, 18 + INT((ROW()-18)/8)*8)</f>
        <v>4.0959524885477325</v>
      </c>
      <c r="C30" s="3" cm="1">
        <f t="array" ref="C30">INDEX(C:C, 14 + INT((ROW()-18)/8)*8)
 - $C$9 *
 INDEX(AP:AP, 18 + INT((ROW()-18)/8)*8)</f>
        <v>0.16442641706523739</v>
      </c>
      <c r="D30" s="3" cm="1">
        <f t="array" ref="D30">INDEX(D:D, 14 + INT((ROW()-18)/8)*8)
 - $C$9 *
 INDEX(AQ:AQ, 18 + INT((ROW()-18)/8)*8)</f>
        <v>4.7294060379785261</v>
      </c>
      <c r="E30" s="3" cm="1">
        <f t="array" ref="E30">INDEX(E:E, 14 + INT((ROW()-18)/8)*8)
 - $C$9 *
 INDEX(AR:AR, 18 + INT((ROW()-18)/8)*8)</f>
        <v>-4.0688310220553063</v>
      </c>
      <c r="F30" s="3" cm="1">
        <f t="array" ref="F30">INDEX(F:F, 14 + INT((ROW()-18)/8)*8)
 - $C$9 *
 INDEX(AS:AS, 18 + INT((ROW()-18)/8)*8)</f>
        <v>-4.140818657171959</v>
      </c>
      <c r="G30" s="3" cm="1">
        <f t="array" ref="G30">INDEX(G:G, 14 + INT((ROW()-18)/8)*8)
 - $C$9 *
 INDEX(X:X, 18 + INT((ROW()-18)/8)*8)</f>
        <v>3.9680635372787605E-2</v>
      </c>
      <c r="H30" s="3" cm="1">
        <f t="array" ref="H30">INDEX(H:H, 14 + INT((ROW()-18)/8)*8)
 - $C$9 *
 INDEX(Y:Y, 18 + INT((ROW()-18)/8)*8)</f>
        <v>-4.0269540151731915</v>
      </c>
      <c r="I30" s="3" cm="1">
        <f t="array" ref="I30">INDEX(I:I, 14 + INT((ROW()-18)/8)*8)
 - $C$9 *
 INDEX(Z:Z, 18 + INT((ROW()-18)/8)*8)</f>
        <v>-3.7228617181473096</v>
      </c>
      <c r="J30" s="3">
        <v>0</v>
      </c>
      <c r="K30" s="3">
        <v>0</v>
      </c>
      <c r="L30" s="1" cm="1">
        <f t="array" ref="L30">INDEX(B:B, 14 + INT((ROW()-14)/8)*8)*J30
+ INDEX(C:C, 14 + INT((ROW()-14)/8)*8)*K30
+ INDEX(A:A, 14 + INT((ROW()-14)/8)*8)</f>
        <v>-5.9066906396827275</v>
      </c>
      <c r="M30" s="1" cm="1">
        <f t="array" ref="M30">INDEX(E:E, 14 + INT((ROW()-14)/8)*8)*J30
+ INDEX(F:F, 14 + INT((ROW()-14)/8)*8)*K30
+ INDEX(D:D, 14 + INT((ROW()-14)/8)*8)</f>
        <v>4.7294060379785261</v>
      </c>
      <c r="N30" s="1">
        <f>1/(1+EXP(-L30))</f>
        <v>2.7137926480833899E-3</v>
      </c>
      <c r="O30" s="1">
        <f>1/(1+EXP(-M30))</f>
        <v>0.99124560117150862</v>
      </c>
      <c r="P30" s="1" cm="1">
        <f t="array" ref="P30">INDEX(H:H, 14 + INT((ROW()-14)/8)*8)*N30
+ INDEX(I:I, 14 + INT((ROW()-14)/8)*8)*O30
+ INDEX(G:G, 14 + INT((ROW()-14)/8)*8)</f>
        <v>-3.661517984711085</v>
      </c>
      <c r="Q30" s="1">
        <f>1/(1+EXP(-P30))</f>
        <v>2.5049862633334433E-2</v>
      </c>
      <c r="R30" s="8">
        <f>($C$4-Q30)^2</f>
        <v>6.2749561794892472E-4</v>
      </c>
      <c r="S30" s="1">
        <f>2*(Q30-$C$4)</f>
        <v>5.0099725266668865E-2</v>
      </c>
      <c r="T30" s="1">
        <f>Q30*(1-Q30)</f>
        <v>2.4422367015385509E-2</v>
      </c>
      <c r="U30" s="1">
        <v>1</v>
      </c>
      <c r="V30" s="1">
        <f>N30</f>
        <v>2.7137926480833899E-3</v>
      </c>
      <c r="W30" s="8">
        <f>O30</f>
        <v>0.99124560117150862</v>
      </c>
      <c r="X30" s="1">
        <f>S30*T30*U30</f>
        <v>1.2235538778325697E-3</v>
      </c>
      <c r="Y30" s="1">
        <f>S30*T30*V30</f>
        <v>3.3204715181959501E-6</v>
      </c>
      <c r="Z30" s="8">
        <f>S30*T30*W30</f>
        <v>1.2128423991978761E-3</v>
      </c>
      <c r="AA30" s="1">
        <f>2*(Q30-$C$4)</f>
        <v>5.0099725266668865E-2</v>
      </c>
      <c r="AB30" s="1" cm="1">
        <f t="array" ref="AB30">INDEX(H:H, 14 + INT((ROW()-14)/8)*8)</f>
        <v>-4.0269540151731915</v>
      </c>
      <c r="AC30" s="1" cm="1">
        <f t="array" ref="AC30">INDEX(I:I, 14 + INT((ROW()-14)/8)*8)</f>
        <v>-3.7228617181473096</v>
      </c>
      <c r="AD30" s="1">
        <f>N30*(1-N30)</f>
        <v>2.7064279775465988E-3</v>
      </c>
      <c r="AE30" s="1">
        <f xml:space="preserve"> O30*(1-O30)</f>
        <v>8.6777593296430925E-3</v>
      </c>
      <c r="AF30" s="1">
        <v>1</v>
      </c>
      <c r="AG30" s="1">
        <f>J30</f>
        <v>0</v>
      </c>
      <c r="AH30" s="1">
        <f>K30</f>
        <v>0</v>
      </c>
      <c r="AI30" s="1"/>
      <c r="AJ30" s="1"/>
      <c r="AK30" s="1">
        <v>1</v>
      </c>
      <c r="AL30" s="1">
        <f>J30</f>
        <v>0</v>
      </c>
      <c r="AM30" s="8">
        <f>K30</f>
        <v>0</v>
      </c>
      <c r="AN30" s="1">
        <f>S30*T30*AB30*AD30*AF30</f>
        <v>-1.3335098943140707E-5</v>
      </c>
      <c r="AO30" s="1">
        <f>S30*T30*AB30*AD30*AG30</f>
        <v>0</v>
      </c>
      <c r="AP30" s="1">
        <f>S30*T30*AB30*AD30*AH30</f>
        <v>0</v>
      </c>
      <c r="AQ30" s="1">
        <f>S30*T30*AC30*AE30*AK30</f>
        <v>-3.9528251494867315E-5</v>
      </c>
      <c r="AR30" s="1">
        <f>S30*T30*AC30*AE30*AL30</f>
        <v>0</v>
      </c>
      <c r="AS30" s="8">
        <f>S30*T30*AC30*AE30*AM30</f>
        <v>0</v>
      </c>
      <c r="AT30" s="1"/>
    </row>
    <row r="31" spans="1:47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3">
        <v>0</v>
      </c>
      <c r="K31" s="3">
        <v>1</v>
      </c>
      <c r="L31" s="1" cm="1">
        <f t="array" ref="L31">INDEX(B:B, 14 + INT((ROW()-14)/8)*8)*J31
+ INDEX(C:C, 14 + INT((ROW()-14)/8)*8)*K31
+ INDEX(A:A, 14 + INT((ROW()-14)/8)*8)</f>
        <v>-5.7422642226174903</v>
      </c>
      <c r="M31" s="1" cm="1">
        <f t="array" ref="M31">INDEX(E:E, 14 + INT((ROW()-14)/8)*8)*J31
+ INDEX(F:F, 14 + INT((ROW()-14)/8)*8)*K31
+ INDEX(D:D, 14 + INT((ROW()-14)/8)*8)</f>
        <v>0.58858738080656714</v>
      </c>
      <c r="N31" s="1">
        <f t="shared" ref="N31:N33" si="42">1/(1+EXP(-L31))</f>
        <v>3.1972424114057848E-3</v>
      </c>
      <c r="O31" s="1">
        <f t="shared" ref="O31:O33" si="43">1/(1+EXP(-M31))</f>
        <v>0.64304095965609309</v>
      </c>
      <c r="P31" s="1" cm="1">
        <f t="array" ref="P31">INDEX(H:H, 14 + INT((ROW()-14)/8)*8)*N31
+ INDEX(I:I, 14 + INT((ROW()-14)/8)*8)*O31
+ INDEX(G:G, 14 + INT((ROW()-14)/8)*8)</f>
        <v>-2.3671470846976828</v>
      </c>
      <c r="Q31" s="1">
        <f t="shared" ref="Q31:Q33" si="44">1/(1+EXP(-P31))</f>
        <v>8.5712446406176618E-2</v>
      </c>
      <c r="R31" s="8">
        <f>($C$5-Q31)^2</f>
        <v>0.83592173065657849</v>
      </c>
      <c r="S31" s="1">
        <f>2*(Q31-$C$5)</f>
        <v>-1.8285751071876468</v>
      </c>
      <c r="T31" s="1">
        <f t="shared" ref="T31:T33" si="45">Q31*(1-Q31)</f>
        <v>7.8365822937244922E-2</v>
      </c>
      <c r="U31" s="1">
        <v>1</v>
      </c>
      <c r="V31" s="1">
        <f t="shared" ref="V31:V33" si="46">N31</f>
        <v>3.1972424114057848E-3</v>
      </c>
      <c r="W31" s="8">
        <f t="shared" ref="W31:W33" si="47">O31</f>
        <v>0.64304095965609309</v>
      </c>
      <c r="X31" s="1">
        <f t="shared" ref="X31:X33" si="48">S31*T31*U31</f>
        <v>-0.1432977930773208</v>
      </c>
      <c r="Y31" s="1">
        <f t="shared" ref="Y31:Y33" si="49">S31*T31*V31</f>
        <v>-4.5815778148766033E-4</v>
      </c>
      <c r="Z31" s="8">
        <f t="shared" ref="Z31:Z33" si="50">S31*T31*W31</f>
        <v>-9.2146350377040623E-2</v>
      </c>
      <c r="AA31" s="1">
        <f>2*(Q31-$C$5)</f>
        <v>-1.8285751071876468</v>
      </c>
      <c r="AB31" s="1" cm="1">
        <f t="array" ref="AB31">INDEX(H:H, 14 + INT((ROW()-14)/8)*8)</f>
        <v>-4.0269540151731915</v>
      </c>
      <c r="AC31" s="1" cm="1">
        <f t="array" ref="AC31">INDEX(I:I, 14 + INT((ROW()-14)/8)*8)</f>
        <v>-3.7228617181473096</v>
      </c>
      <c r="AD31" s="1">
        <f t="shared" ref="AD31:AD33" si="51">N31*(1-N31)</f>
        <v>3.1870200523684928E-3</v>
      </c>
      <c r="AE31" s="1">
        <f t="shared" ref="AE31:AE33" si="52" xml:space="preserve"> O31*(1-O31)</f>
        <v>0.22953928386066394</v>
      </c>
      <c r="AF31" s="1">
        <v>1</v>
      </c>
      <c r="AG31" s="1">
        <f t="shared" ref="AG31:AG33" si="53">J31</f>
        <v>0</v>
      </c>
      <c r="AH31" s="1">
        <f t="shared" ref="AH31:AH33" si="54">K31</f>
        <v>1</v>
      </c>
      <c r="AI31" s="1"/>
      <c r="AJ31" s="1"/>
      <c r="AK31" s="1">
        <v>1</v>
      </c>
      <c r="AL31" s="1">
        <f t="shared" ref="AL31:AL33" si="55">J31</f>
        <v>0</v>
      </c>
      <c r="AM31" s="8">
        <f t="shared" ref="AM31:AM33" si="56">K31</f>
        <v>1</v>
      </c>
      <c r="AN31" s="1">
        <f t="shared" ref="AN31:AN33" si="57">S31*T31*AB31*AD31*AF31</f>
        <v>1.8390814684244733E-3</v>
      </c>
      <c r="AO31" s="1">
        <f t="shared" ref="AO31:AO33" si="58">S31*T31*AB31*AD31*AG31</f>
        <v>0</v>
      </c>
      <c r="AP31" s="1">
        <f t="shared" ref="AP31:AP33" si="59">S31*T31*AB31*AD31*AH31</f>
        <v>1.8390814684244733E-3</v>
      </c>
      <c r="AQ31" s="1">
        <f t="shared" ref="AQ31:AQ33" si="60">S31*T31*AC31*AE31*AK31</f>
        <v>0.12245412780895512</v>
      </c>
      <c r="AR31" s="1">
        <f t="shared" ref="AR31:AR33" si="61">S31*T31*AC31*AE31*AL31</f>
        <v>0</v>
      </c>
      <c r="AS31" s="8">
        <f t="shared" ref="AS31:AS33" si="62">S31*T31*AC31*AE31*AM31</f>
        <v>0.12245412780895512</v>
      </c>
      <c r="AT31" s="1"/>
    </row>
    <row r="32" spans="1:47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3">
        <v>1</v>
      </c>
      <c r="K32" s="3">
        <v>0</v>
      </c>
      <c r="L32" s="1" cm="1">
        <f t="array" ref="L32">INDEX(B:B, 14 + INT((ROW()-14)/8)*8)*J32
+ INDEX(C:C, 14 + INT((ROW()-14)/8)*8)*K32
+ INDEX(A:A, 14 + INT((ROW()-14)/8)*8)</f>
        <v>-1.8107381511349949</v>
      </c>
      <c r="M32" s="1" cm="1">
        <f t="array" ref="M32">INDEX(E:E, 14 + INT((ROW()-14)/8)*8)*J32
+ INDEX(F:F, 14 + INT((ROW()-14)/8)*8)*K32
+ INDEX(D:D, 14 + INT((ROW()-14)/8)*8)</f>
        <v>0.66057501592321977</v>
      </c>
      <c r="N32" s="1">
        <f t="shared" si="42"/>
        <v>0.14054893715664285</v>
      </c>
      <c r="O32" s="1">
        <f t="shared" si="43"/>
        <v>0.65938954597085098</v>
      </c>
      <c r="P32" s="1" cm="1">
        <f t="array" ref="P32">INDEX(H:H, 14 + INT((ROW()-14)/8)*8)*N32
+ INDEX(I:I, 14 + INT((ROW()-14)/8)*8)*O32
+ INDEX(G:G, 14 + INT((ROW()-14)/8)*8)</f>
        <v>-2.9811195694798971</v>
      </c>
      <c r="Q32" s="1">
        <f t="shared" si="44"/>
        <v>4.8286153324456987E-2</v>
      </c>
      <c r="R32" s="8">
        <f>($C$6-Q32)^2</f>
        <v>0.90575924595395907</v>
      </c>
      <c r="S32" s="1">
        <f>2*(Q32-$C$6)</f>
        <v>-1.9034276933510861</v>
      </c>
      <c r="T32" s="1">
        <f t="shared" si="45"/>
        <v>4.595460072158402E-2</v>
      </c>
      <c r="U32" s="1">
        <v>1</v>
      </c>
      <c r="V32" s="1">
        <f t="shared" si="46"/>
        <v>0.14054893715664285</v>
      </c>
      <c r="W32" s="8">
        <f t="shared" si="47"/>
        <v>0.65938954597085098</v>
      </c>
      <c r="X32" s="1">
        <f t="shared" si="48"/>
        <v>-8.7471259650354821E-2</v>
      </c>
      <c r="Y32" s="1">
        <f t="shared" si="49"/>
        <v>-1.229399257561011E-2</v>
      </c>
      <c r="Z32" s="8">
        <f t="shared" si="50"/>
        <v>-5.7677634186345882E-2</v>
      </c>
      <c r="AA32" s="1">
        <f>2*(Q32-$C$6)</f>
        <v>-1.9034276933510861</v>
      </c>
      <c r="AB32" s="1" cm="1">
        <f t="array" ref="AB32">INDEX(H:H, 14 + INT((ROW()-14)/8)*8)</f>
        <v>-4.0269540151731915</v>
      </c>
      <c r="AC32" s="1" cm="1">
        <f t="array" ref="AC32">INDEX(I:I, 14 + INT((ROW()-14)/8)*8)</f>
        <v>-3.7228617181473096</v>
      </c>
      <c r="AD32" s="1">
        <f t="shared" si="51"/>
        <v>0.1207949334207809</v>
      </c>
      <c r="AE32" s="1">
        <f t="shared" si="52"/>
        <v>0.22459497263520597</v>
      </c>
      <c r="AF32" s="1">
        <v>1</v>
      </c>
      <c r="AG32" s="1">
        <f t="shared" si="53"/>
        <v>1</v>
      </c>
      <c r="AH32" s="1">
        <f t="shared" si="54"/>
        <v>0</v>
      </c>
      <c r="AI32" s="1"/>
      <c r="AJ32" s="1"/>
      <c r="AK32" s="1">
        <v>1</v>
      </c>
      <c r="AL32" s="1">
        <f t="shared" si="55"/>
        <v>1</v>
      </c>
      <c r="AM32" s="8">
        <f t="shared" si="56"/>
        <v>0</v>
      </c>
      <c r="AN32" s="1">
        <f t="shared" si="57"/>
        <v>4.2549138357811496E-2</v>
      </c>
      <c r="AO32" s="1">
        <f t="shared" si="58"/>
        <v>4.2549138357811496E-2</v>
      </c>
      <c r="AP32" s="1">
        <f t="shared" si="59"/>
        <v>0</v>
      </c>
      <c r="AQ32" s="1">
        <f t="shared" si="60"/>
        <v>7.313787140806581E-2</v>
      </c>
      <c r="AR32" s="1">
        <f t="shared" si="61"/>
        <v>7.313787140806581E-2</v>
      </c>
      <c r="AS32" s="8">
        <f t="shared" si="62"/>
        <v>0</v>
      </c>
      <c r="AT32" s="1"/>
    </row>
    <row r="33" spans="1:4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3">
        <v>1</v>
      </c>
      <c r="K33" s="3">
        <v>1</v>
      </c>
      <c r="L33" s="1" cm="1">
        <f t="array" ref="L33">INDEX(B:B, 14 + INT((ROW()-14)/8)*8)*J33
+ INDEX(C:C, 14 + INT((ROW()-14)/8)*8)*K33
+ INDEX(A:A, 14 + INT((ROW()-14)/8)*8)</f>
        <v>-1.6463117340697577</v>
      </c>
      <c r="M33" s="1" cm="1">
        <f t="array" ref="M33">INDEX(E:E, 14 + INT((ROW()-14)/8)*8)*J33
+ INDEX(F:F, 14 + INT((ROW()-14)/8)*8)*K33
+ INDEX(D:D, 14 + INT((ROW()-14)/8)*8)</f>
        <v>-3.4802436412487392</v>
      </c>
      <c r="N33" s="1">
        <f t="shared" si="42"/>
        <v>0.16160805252366006</v>
      </c>
      <c r="O33" s="1">
        <f t="shared" si="43"/>
        <v>2.9879616608378571E-2</v>
      </c>
      <c r="P33" s="1" cm="1">
        <f t="array" ref="P33">INDEX(H:H, 14 + INT((ROW()-14)/8)*8)*N33
+ INDEX(I:I, 14 + INT((ROW()-14)/8)*8)*O33
+ INDEX(G:G, 14 + INT((ROW()-14)/8)*8)</f>
        <v>-0.72234524144593637</v>
      </c>
      <c r="Q33" s="1">
        <f t="shared" si="44"/>
        <v>0.32687675398552574</v>
      </c>
      <c r="R33" s="8">
        <f>($C$7-Q33)^2</f>
        <v>0.10684841229611391</v>
      </c>
      <c r="S33" s="1">
        <f>2*(Q33-$C$7)</f>
        <v>0.65375350797105147</v>
      </c>
      <c r="T33" s="1">
        <f t="shared" si="45"/>
        <v>0.22002834168941182</v>
      </c>
      <c r="U33" s="1">
        <v>1</v>
      </c>
      <c r="V33" s="1">
        <f t="shared" si="46"/>
        <v>0.16160805252366006</v>
      </c>
      <c r="W33" s="8">
        <f t="shared" si="47"/>
        <v>2.9879616608378571E-2</v>
      </c>
      <c r="X33" s="1">
        <f t="shared" si="48"/>
        <v>0.14384430023250613</v>
      </c>
      <c r="Y33" s="1">
        <f t="shared" si="49"/>
        <v>2.324639722720398E-2</v>
      </c>
      <c r="Z33" s="8">
        <f t="shared" si="50"/>
        <v>4.2980125422477835E-3</v>
      </c>
      <c r="AA33" s="1">
        <f>2*(Q33-$C$7)</f>
        <v>0.65375350797105147</v>
      </c>
      <c r="AB33" s="1" cm="1">
        <f t="array" ref="AB33">INDEX(H:H, 14 + INT((ROW()-14)/8)*8)</f>
        <v>-4.0269540151731915</v>
      </c>
      <c r="AC33" s="1" cm="1">
        <f t="array" ref="AC33">INDEX(I:I, 14 + INT((ROW()-14)/8)*8)</f>
        <v>-3.7228617181473096</v>
      </c>
      <c r="AD33" s="1">
        <f t="shared" si="51"/>
        <v>0.13549088988316998</v>
      </c>
      <c r="AE33" s="1">
        <f t="shared" si="52"/>
        <v>2.8986825119714878E-2</v>
      </c>
      <c r="AF33" s="1">
        <v>1</v>
      </c>
      <c r="AG33" s="1">
        <f t="shared" si="53"/>
        <v>1</v>
      </c>
      <c r="AH33" s="1">
        <f t="shared" si="54"/>
        <v>1</v>
      </c>
      <c r="AI33" s="1"/>
      <c r="AJ33" s="1"/>
      <c r="AK33" s="1">
        <v>1</v>
      </c>
      <c r="AL33" s="1">
        <f t="shared" si="55"/>
        <v>1</v>
      </c>
      <c r="AM33" s="8">
        <f t="shared" si="56"/>
        <v>1</v>
      </c>
      <c r="AN33" s="1">
        <f t="shared" si="57"/>
        <v>-7.8483691737537012E-2</v>
      </c>
      <c r="AO33" s="1">
        <f t="shared" si="58"/>
        <v>-7.8483691737537012E-2</v>
      </c>
      <c r="AP33" s="1">
        <f t="shared" si="59"/>
        <v>-7.8483691737537012E-2</v>
      </c>
      <c r="AQ33" s="1">
        <f t="shared" si="60"/>
        <v>-1.5522805410298083E-2</v>
      </c>
      <c r="AR33" s="1">
        <f t="shared" si="61"/>
        <v>-1.5522805410298083E-2</v>
      </c>
      <c r="AS33" s="8">
        <f t="shared" si="62"/>
        <v>-1.5522805410298083E-2</v>
      </c>
      <c r="AT33" s="1"/>
    </row>
    <row r="34" spans="1:4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46">
        <f>SUM(R30:R33)</f>
        <v>1.8491568845246005</v>
      </c>
      <c r="S34" s="1"/>
      <c r="T34" s="1"/>
      <c r="U34" s="1"/>
      <c r="V34" s="1"/>
      <c r="W34" s="1"/>
      <c r="X34" s="1">
        <f>AVERAGE(X30:X33)</f>
        <v>-2.1425299654334228E-2</v>
      </c>
      <c r="Y34" s="1">
        <f>AVERAGE(Y30:Y33)</f>
        <v>2.6243918354061013E-3</v>
      </c>
      <c r="Z34" s="1">
        <f>AVERAGE(Z30:Z33)</f>
        <v>-3.6078282405485211E-2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>
        <f>AVERAGE(AN30:AN33)</f>
        <v>-8.5272017525610463E-3</v>
      </c>
      <c r="AO34" s="1">
        <f>AVERAGE(AO30:AO33)</f>
        <v>-8.983638344931379E-3</v>
      </c>
      <c r="AP34" s="1">
        <f xml:space="preserve"> AVERAGE(AP30:AP33)</f>
        <v>-1.9161152567278135E-2</v>
      </c>
      <c r="AQ34" s="1">
        <f>AVERAGE(AQ30:AQ33)</f>
        <v>4.5007416388807002E-2</v>
      </c>
      <c r="AR34" s="1">
        <f>AVERAGE(AR30:AR33)</f>
        <v>1.4403766499441932E-2</v>
      </c>
      <c r="AS34" s="1">
        <f>AVERAGE(AS30:AS33)</f>
        <v>2.6732830599664258E-2</v>
      </c>
      <c r="AT34" s="1"/>
    </row>
    <row r="35" spans="1:4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6" ht="15" thickBot="1" x14ac:dyDescent="0.35">
      <c r="A36" s="1" t="s">
        <v>38</v>
      </c>
      <c r="B36" s="1">
        <v>3</v>
      </c>
      <c r="C36" s="1"/>
      <c r="D36" s="1"/>
      <c r="E36" s="1"/>
      <c r="F36" s="1"/>
      <c r="G36" s="1"/>
      <c r="H36" s="1"/>
      <c r="I36" s="1"/>
      <c r="J36" s="30" t="s">
        <v>7</v>
      </c>
      <c r="K36" s="31"/>
      <c r="L36" s="30" t="s">
        <v>8</v>
      </c>
      <c r="M36" s="31"/>
      <c r="N36" s="30" t="s">
        <v>9</v>
      </c>
      <c r="O36" s="31"/>
      <c r="P36" s="1"/>
      <c r="Q36" s="9" t="s">
        <v>10</v>
      </c>
      <c r="R36" s="10" t="s">
        <v>11</v>
      </c>
      <c r="S36" s="1"/>
      <c r="T36" s="11"/>
      <c r="U36" s="23" t="s">
        <v>13</v>
      </c>
      <c r="V36" s="24"/>
      <c r="W36" s="26"/>
      <c r="X36" s="32" t="s">
        <v>12</v>
      </c>
      <c r="Y36" s="33"/>
      <c r="Z36" s="34"/>
      <c r="AA36" s="35"/>
      <c r="AB36" s="25"/>
      <c r="AC36" s="21"/>
      <c r="AD36" s="22"/>
      <c r="AE36" s="11"/>
      <c r="AF36" s="11"/>
      <c r="AG36" s="23" t="s">
        <v>44</v>
      </c>
      <c r="AH36" s="24"/>
      <c r="AI36" s="25"/>
      <c r="AJ36" s="17"/>
      <c r="AK36" s="17"/>
      <c r="AL36" s="23" t="s">
        <v>45</v>
      </c>
      <c r="AM36" s="24"/>
      <c r="AN36" s="26"/>
      <c r="AO36" s="27" t="s">
        <v>12</v>
      </c>
      <c r="AP36" s="28"/>
      <c r="AQ36" s="28"/>
      <c r="AR36" s="28"/>
      <c r="AS36" s="28"/>
      <c r="AT36" s="29"/>
    </row>
    <row r="37" spans="1:46" ht="15" thickBot="1" x14ac:dyDescent="0.35">
      <c r="A37" s="12" t="s">
        <v>14</v>
      </c>
      <c r="B37" s="12" t="s">
        <v>15</v>
      </c>
      <c r="C37" s="12" t="s">
        <v>16</v>
      </c>
      <c r="D37" s="12" t="s">
        <v>17</v>
      </c>
      <c r="E37" s="12" t="s">
        <v>18</v>
      </c>
      <c r="F37" s="12" t="s">
        <v>19</v>
      </c>
      <c r="G37" s="12" t="s">
        <v>20</v>
      </c>
      <c r="H37" s="12" t="s">
        <v>21</v>
      </c>
      <c r="I37" s="12" t="s">
        <v>22</v>
      </c>
      <c r="J37" s="12" t="s">
        <v>23</v>
      </c>
      <c r="K37" s="12" t="s">
        <v>24</v>
      </c>
      <c r="L37" s="12" t="s">
        <v>39</v>
      </c>
      <c r="M37" s="12" t="s">
        <v>40</v>
      </c>
      <c r="N37" s="12" t="s">
        <v>41</v>
      </c>
      <c r="O37" s="12" t="s">
        <v>42</v>
      </c>
      <c r="P37" s="12" t="s">
        <v>25</v>
      </c>
      <c r="Q37" s="12" t="s">
        <v>26</v>
      </c>
      <c r="R37" s="13" t="s">
        <v>27</v>
      </c>
      <c r="S37" s="12" t="s">
        <v>43</v>
      </c>
      <c r="T37" s="12" t="s">
        <v>31</v>
      </c>
      <c r="U37" s="12" t="s">
        <v>28</v>
      </c>
      <c r="V37" s="12" t="s">
        <v>29</v>
      </c>
      <c r="W37" s="13" t="s">
        <v>30</v>
      </c>
      <c r="X37" s="12" t="s">
        <v>28</v>
      </c>
      <c r="Y37" s="12" t="s">
        <v>29</v>
      </c>
      <c r="Z37" s="13" t="s">
        <v>30</v>
      </c>
      <c r="AA37" s="12" t="s">
        <v>50</v>
      </c>
      <c r="AB37" s="12" t="s">
        <v>48</v>
      </c>
      <c r="AC37" s="12" t="s">
        <v>49</v>
      </c>
      <c r="AD37" s="12" t="s">
        <v>46</v>
      </c>
      <c r="AE37" s="12" t="s">
        <v>47</v>
      </c>
      <c r="AF37" s="12" t="s">
        <v>32</v>
      </c>
      <c r="AG37" s="12" t="s">
        <v>33</v>
      </c>
      <c r="AH37" s="12" t="s">
        <v>34</v>
      </c>
      <c r="AI37" s="12"/>
      <c r="AJ37" s="12"/>
      <c r="AK37" s="12" t="s">
        <v>35</v>
      </c>
      <c r="AL37" s="12" t="s">
        <v>36</v>
      </c>
      <c r="AM37" s="13" t="s">
        <v>37</v>
      </c>
      <c r="AN37" s="12" t="s">
        <v>32</v>
      </c>
      <c r="AO37" s="12" t="s">
        <v>33</v>
      </c>
      <c r="AP37" s="12" t="s">
        <v>34</v>
      </c>
      <c r="AQ37" s="12" t="s">
        <v>35</v>
      </c>
      <c r="AR37" s="12" t="s">
        <v>36</v>
      </c>
      <c r="AS37" s="13" t="s">
        <v>37</v>
      </c>
      <c r="AT37" s="1"/>
    </row>
    <row r="38" spans="1:46" ht="15" thickBot="1" x14ac:dyDescent="0.35">
      <c r="A38" s="3" cm="1">
        <f t="array" ref="A38">INDEX(A:A, 14 + INT((ROW()-18)/8)*8)
 - $C$9 *
 INDEX(AN:AN, 18 + INT((ROW()-18)/8)*8)</f>
        <v>-5.864054630919922</v>
      </c>
      <c r="B38" s="3" cm="1">
        <f t="array" ref="B38">INDEX(B:B, 14 + INT((ROW()-18)/8)*8)
 - $C$9 *
 INDEX(AO:AO, 18 + INT((ROW()-18)/8)*8)</f>
        <v>4.1408706802723891</v>
      </c>
      <c r="C38" s="3" cm="1">
        <f t="array" ref="C38">INDEX(C:C, 14 + INT((ROW()-18)/8)*8)
 - $C$9 *
 INDEX(AP:AP, 18 + INT((ROW()-18)/8)*8)</f>
        <v>0.26023217990162806</v>
      </c>
      <c r="D38" s="3" cm="1">
        <f t="array" ref="D38">INDEX(D:D, 14 + INT((ROW()-18)/8)*8)
 - $C$9 *
 INDEX(AQ:AQ, 18 + INT((ROW()-18)/8)*8)</f>
        <v>4.5043689560344911</v>
      </c>
      <c r="E38" s="3" cm="1">
        <f t="array" ref="E38">INDEX(E:E, 14 + INT((ROW()-18)/8)*8)
 - $C$9 *
 INDEX(AR:AR, 18 + INT((ROW()-18)/8)*8)</f>
        <v>-4.1408498545525161</v>
      </c>
      <c r="F38" s="3" cm="1">
        <f t="array" ref="F38">INDEX(F:F, 14 + INT((ROW()-18)/8)*8)
 - $C$9 *
 INDEX(AS:AS, 18 + INT((ROW()-18)/8)*8)</f>
        <v>-4.2744828101702801</v>
      </c>
      <c r="G38" s="3" cm="1">
        <f t="array" ref="G38">INDEX(G:G, 14 + INT((ROW()-18)/8)*8)
 - $C$9 *
 INDEX(X:X, 18 + INT((ROW()-18)/8)*8)</f>
        <v>0.14680713364445874</v>
      </c>
      <c r="H38" s="3" cm="1">
        <f t="array" ref="H38">INDEX(H:H, 14 + INT((ROW()-18)/8)*8)
 - $C$9 *
 INDEX(Y:Y, 18 + INT((ROW()-18)/8)*8)</f>
        <v>-4.0400759743502217</v>
      </c>
      <c r="I38" s="3" cm="1">
        <f t="array" ref="I38">INDEX(I:I, 14 + INT((ROW()-18)/8)*8)
 - $C$9 *
 INDEX(Z:Z, 18 + INT((ROW()-18)/8)*8)</f>
        <v>-3.5424703061198834</v>
      </c>
      <c r="J38" s="3">
        <v>0</v>
      </c>
      <c r="K38" s="3">
        <v>0</v>
      </c>
      <c r="L38" s="1" cm="1">
        <f t="array" ref="L38">INDEX(B:B, 14 + INT((ROW()-14)/8)*8)*J38
+ INDEX(C:C, 14 + INT((ROW()-14)/8)*8)*K38
+ INDEX(A:A, 14 + INT((ROW()-14)/8)*8)</f>
        <v>-5.864054630919922</v>
      </c>
      <c r="M38" s="1" cm="1">
        <f t="array" ref="M38">INDEX(E:E, 14 + INT((ROW()-14)/8)*8)*J38
+ INDEX(F:F, 14 + INT((ROW()-14)/8)*8)*K38
+ INDEX(D:D, 14 + INT((ROW()-14)/8)*8)</f>
        <v>4.5043689560344911</v>
      </c>
      <c r="N38" s="1">
        <f>1/(1+EXP(-L38))</f>
        <v>2.8316652497240857E-3</v>
      </c>
      <c r="O38" s="1">
        <f>1/(1+EXP(-M38))</f>
        <v>0.98906043016310785</v>
      </c>
      <c r="P38" s="1" cm="1">
        <f t="array" ref="P38">INDEX(H:H, 14 + INT((ROW()-14)/8)*8)*N38
+ INDEX(I:I, 14 + INT((ROW()-14)/8)*8)*O38
+ INDEX(G:G, 14 + INT((ROW()-14)/8)*8)</f>
        <v>-3.3683502139093218</v>
      </c>
      <c r="Q38" s="1">
        <f>1/(1+EXP(-P38))</f>
        <v>3.3299375452243589E-2</v>
      </c>
      <c r="R38" s="8">
        <f>($C$4-Q38)^2</f>
        <v>1.1088484055094829E-3</v>
      </c>
      <c r="S38" s="1">
        <f>2*(Q38-$C$4)</f>
        <v>6.6598750904487178E-2</v>
      </c>
      <c r="T38" s="1">
        <f>Q38*(1-Q38)</f>
        <v>3.2190527046734106E-2</v>
      </c>
      <c r="U38" s="1">
        <v>1</v>
      </c>
      <c r="V38" s="1">
        <f>N38</f>
        <v>2.8316652497240857E-3</v>
      </c>
      <c r="W38" s="8">
        <f>O38</f>
        <v>0.98906043016310785</v>
      </c>
      <c r="X38" s="1">
        <f>S38*T38*U38</f>
        <v>2.1438488922696018E-3</v>
      </c>
      <c r="Y38" s="1">
        <f>S38*T38*V38</f>
        <v>6.0706624088993069E-6</v>
      </c>
      <c r="Z38" s="8">
        <f>S38*T38*W38</f>
        <v>2.1203961075928748E-3</v>
      </c>
      <c r="AA38" s="1">
        <f>2*(Q38-$C$4)</f>
        <v>6.6598750904487178E-2</v>
      </c>
      <c r="AB38" s="1" cm="1">
        <f t="array" ref="AB38">INDEX(H:H, 14 + INT((ROW()-14)/8)*8)</f>
        <v>-4.0400759743502217</v>
      </c>
      <c r="AC38" s="1" cm="1">
        <f t="array" ref="AC38">INDEX(I:I, 14 + INT((ROW()-14)/8)*8)</f>
        <v>-3.5424703061198834</v>
      </c>
      <c r="AD38" s="1">
        <f>N38*(1-N38)</f>
        <v>2.8236469216375909E-3</v>
      </c>
      <c r="AE38" s="1">
        <f xml:space="preserve"> O38*(1-O38)</f>
        <v>1.0819895648675908E-2</v>
      </c>
      <c r="AF38" s="1">
        <v>1</v>
      </c>
      <c r="AG38" s="1">
        <f>J38</f>
        <v>0</v>
      </c>
      <c r="AH38" s="1">
        <f>K38</f>
        <v>0</v>
      </c>
      <c r="AI38" s="1"/>
      <c r="AJ38" s="1"/>
      <c r="AK38" s="1">
        <v>1</v>
      </c>
      <c r="AL38" s="1">
        <f>J38</f>
        <v>0</v>
      </c>
      <c r="AM38" s="8">
        <f>K38</f>
        <v>0</v>
      </c>
      <c r="AN38" s="1">
        <f>S38*T38*AB38*AD38*AF38</f>
        <v>-2.4456488102083895E-5</v>
      </c>
      <c r="AO38" s="1">
        <f>S38*T38*AB38*AD38*AG38</f>
        <v>0</v>
      </c>
      <c r="AP38" s="1">
        <f>S38*T38*AB38*AD38*AH38</f>
        <v>0</v>
      </c>
      <c r="AQ38" s="1">
        <f>S38*T38*AC38*AE38*AK38</f>
        <v>-8.2171925172576065E-5</v>
      </c>
      <c r="AR38" s="1">
        <f>S38*T38*AC38*AE38*AL38</f>
        <v>0</v>
      </c>
      <c r="AS38" s="8">
        <f>S38*T38*AC38*AE38*AM38</f>
        <v>0</v>
      </c>
      <c r="AT38" s="1"/>
    </row>
    <row r="39" spans="1:4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3">
        <v>0</v>
      </c>
      <c r="K39" s="3">
        <v>1</v>
      </c>
      <c r="L39" s="1" cm="1">
        <f t="array" ref="L39">INDEX(B:B, 14 + INT((ROW()-14)/8)*8)*J39
+ INDEX(C:C, 14 + INT((ROW()-14)/8)*8)*K39
+ INDEX(A:A, 14 + INT((ROW()-14)/8)*8)</f>
        <v>-5.6038224510182939</v>
      </c>
      <c r="M39" s="1" cm="1">
        <f t="array" ref="M39">INDEX(E:E, 14 + INT((ROW()-14)/8)*8)*J39
+ INDEX(F:F, 14 + INT((ROW()-14)/8)*8)*K39
+ INDEX(D:D, 14 + INT((ROW()-14)/8)*8)</f>
        <v>0.22988614586421097</v>
      </c>
      <c r="N39" s="1">
        <f t="shared" ref="N39:N41" si="63">1/(1+EXP(-L39))</f>
        <v>3.6702355427067554E-3</v>
      </c>
      <c r="O39" s="1">
        <f t="shared" ref="O39:O41" si="64">1/(1+EXP(-M39))</f>
        <v>0.5572197640176253</v>
      </c>
      <c r="P39" s="1" cm="1">
        <f t="array" ref="P39">INDEX(H:H, 14 + INT((ROW()-14)/8)*8)*N39
+ INDEX(I:I, 14 + INT((ROW()-14)/8)*8)*O39
+ INDEX(G:G, 14 + INT((ROW()-14)/8)*8)</f>
        <v>-1.8419553648074034</v>
      </c>
      <c r="Q39" s="1">
        <f t="shared" ref="Q39:Q41" si="65">1/(1+EXP(-P39))</f>
        <v>0.13682019910938473</v>
      </c>
      <c r="R39" s="8">
        <f>($C$5-Q39)^2</f>
        <v>0.74507936866556224</v>
      </c>
      <c r="S39" s="1">
        <f>2*(Q39-$C$5)</f>
        <v>-1.7263596017812306</v>
      </c>
      <c r="T39" s="1">
        <f t="shared" ref="T39:T41" si="66">Q39*(1-Q39)</f>
        <v>0.11810043222505305</v>
      </c>
      <c r="U39" s="1">
        <v>1</v>
      </c>
      <c r="V39" s="1">
        <f t="shared" ref="V39:V41" si="67">N39</f>
        <v>3.6702355427067554E-3</v>
      </c>
      <c r="W39" s="8">
        <f t="shared" ref="W39:W41" si="68">O39</f>
        <v>0.5572197640176253</v>
      </c>
      <c r="X39" s="1">
        <f t="shared" ref="X39:X41" si="69">S39*T39*U39</f>
        <v>-0.2038838151462338</v>
      </c>
      <c r="Y39" s="1">
        <f t="shared" ref="Y39:Y41" si="70">S39*T39*V39</f>
        <v>-7.4830162493236122E-4</v>
      </c>
      <c r="Z39" s="8">
        <f t="shared" ref="Z39:Z41" si="71">S39*T39*W39</f>
        <v>-0.11360809136279754</v>
      </c>
      <c r="AA39" s="1">
        <f>2*(Q39-$C$5)</f>
        <v>-1.7263596017812306</v>
      </c>
      <c r="AB39" s="1" cm="1">
        <f t="array" ref="AB39">INDEX(H:H, 14 + INT((ROW()-14)/8)*8)</f>
        <v>-4.0400759743502217</v>
      </c>
      <c r="AC39" s="1" cm="1">
        <f t="array" ref="AC39">INDEX(I:I, 14 + INT((ROW()-14)/8)*8)</f>
        <v>-3.5424703061198834</v>
      </c>
      <c r="AD39" s="1">
        <f t="shared" ref="AD39:AD41" si="72">N39*(1-N39)</f>
        <v>3.6567649137678074E-3</v>
      </c>
      <c r="AE39" s="1">
        <f t="shared" ref="AE39:AE41" si="73" xml:space="preserve"> O39*(1-O39)</f>
        <v>0.24672589860576727</v>
      </c>
      <c r="AF39" s="1">
        <v>1</v>
      </c>
      <c r="AG39" s="1">
        <f t="shared" ref="AG39:AG41" si="74">J39</f>
        <v>0</v>
      </c>
      <c r="AH39" s="1">
        <f t="shared" ref="AH39:AH41" si="75">K39</f>
        <v>1</v>
      </c>
      <c r="AI39" s="1"/>
      <c r="AJ39" s="1"/>
      <c r="AK39" s="1">
        <v>1</v>
      </c>
      <c r="AL39" s="1">
        <f t="shared" ref="AL39:AL41" si="76">J39</f>
        <v>0</v>
      </c>
      <c r="AM39" s="8">
        <f t="shared" ref="AM39:AM41" si="77">K39</f>
        <v>1</v>
      </c>
      <c r="AN39" s="1">
        <f t="shared" ref="AN39:AN41" si="78">S39*T39*AB39*AD39*AF39</f>
        <v>3.0120995771864365E-3</v>
      </c>
      <c r="AO39" s="1">
        <f t="shared" ref="AO39:AO41" si="79">S39*T39*AB39*AD39*AG39</f>
        <v>0</v>
      </c>
      <c r="AP39" s="1">
        <f t="shared" ref="AP39:AP41" si="80">S39*T39*AB39*AD39*AH39</f>
        <v>3.0120995771864365E-3</v>
      </c>
      <c r="AQ39" s="1">
        <f t="shared" ref="AQ39:AQ41" si="81">S39*T39*AC39*AE39*AK39</f>
        <v>0.17819836280117748</v>
      </c>
      <c r="AR39" s="1">
        <f t="shared" ref="AR39:AR41" si="82">S39*T39*AC39*AE39*AL39</f>
        <v>0</v>
      </c>
      <c r="AS39" s="8">
        <f t="shared" ref="AS39:AS41" si="83">S39*T39*AC39*AE39*AM39</f>
        <v>0.17819836280117748</v>
      </c>
      <c r="AT39" s="1"/>
    </row>
    <row r="40" spans="1:4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3">
        <v>1</v>
      </c>
      <c r="K40" s="3">
        <v>0</v>
      </c>
      <c r="L40" s="1" cm="1">
        <f t="array" ref="L40">INDEX(B:B, 14 + INT((ROW()-14)/8)*8)*J40
+ INDEX(C:C, 14 + INT((ROW()-14)/8)*8)*K40
+ INDEX(A:A, 14 + INT((ROW()-14)/8)*8)</f>
        <v>-1.7231839506475328</v>
      </c>
      <c r="M40" s="1" cm="1">
        <f t="array" ref="M40">INDEX(E:E, 14 + INT((ROW()-14)/8)*8)*J40
+ INDEX(F:F, 14 + INT((ROW()-14)/8)*8)*K40
+ INDEX(D:D, 14 + INT((ROW()-14)/8)*8)</f>
        <v>0.36351910148197497</v>
      </c>
      <c r="N40" s="1">
        <f t="shared" si="63"/>
        <v>0.1514615051338411</v>
      </c>
      <c r="O40" s="1">
        <f t="shared" si="64"/>
        <v>0.58989204156912967</v>
      </c>
      <c r="P40" s="1" cm="1">
        <f t="array" ref="P40">INDEX(H:H, 14 + INT((ROW()-14)/8)*8)*N40
+ INDEX(I:I, 14 + INT((ROW()-14)/8)*8)*O40
+ INDEX(G:G, 14 + INT((ROW()-14)/8)*8)</f>
        <v>-2.5547838953607735</v>
      </c>
      <c r="Q40" s="1">
        <f t="shared" si="65"/>
        <v>7.2105755669186825E-2</v>
      </c>
      <c r="R40" s="8">
        <f>($C$6-Q40)^2</f>
        <v>0.86098772866225071</v>
      </c>
      <c r="S40" s="1">
        <f>2*(Q40-$C$6)</f>
        <v>-1.8557884886616263</v>
      </c>
      <c r="T40" s="1">
        <f t="shared" si="66"/>
        <v>6.6906515668562358E-2</v>
      </c>
      <c r="U40" s="1">
        <v>1</v>
      </c>
      <c r="V40" s="1">
        <f t="shared" si="67"/>
        <v>0.1514615051338411</v>
      </c>
      <c r="W40" s="8">
        <f t="shared" si="68"/>
        <v>0.58989204156912967</v>
      </c>
      <c r="X40" s="1">
        <f t="shared" si="69"/>
        <v>-0.12416434159417676</v>
      </c>
      <c r="Y40" s="1">
        <f t="shared" si="70"/>
        <v>-1.8806118061806404E-2</v>
      </c>
      <c r="Z40" s="8">
        <f t="shared" si="71"/>
        <v>-7.3243556953075731E-2</v>
      </c>
      <c r="AA40" s="1">
        <f>2*(Q40-$C$6)</f>
        <v>-1.8557884886616263</v>
      </c>
      <c r="AB40" s="1" cm="1">
        <f t="array" ref="AB40">INDEX(H:H, 14 + INT((ROW()-14)/8)*8)</f>
        <v>-4.0400759743502217</v>
      </c>
      <c r="AC40" s="1" cm="1">
        <f t="array" ref="AC40">INDEX(I:I, 14 + INT((ROW()-14)/8)*8)</f>
        <v>-3.5424703061198834</v>
      </c>
      <c r="AD40" s="1">
        <f t="shared" si="72"/>
        <v>0.12852091759643253</v>
      </c>
      <c r="AE40" s="1">
        <f t="shared" si="73"/>
        <v>0.24191942086253387</v>
      </c>
      <c r="AF40" s="1">
        <v>1</v>
      </c>
      <c r="AG40" s="1">
        <f t="shared" si="74"/>
        <v>1</v>
      </c>
      <c r="AH40" s="1">
        <f t="shared" si="75"/>
        <v>0</v>
      </c>
      <c r="AI40" s="1"/>
      <c r="AJ40" s="1"/>
      <c r="AK40" s="1">
        <v>1</v>
      </c>
      <c r="AL40" s="1">
        <f t="shared" si="76"/>
        <v>1</v>
      </c>
      <c r="AM40" s="8">
        <f t="shared" si="77"/>
        <v>0</v>
      </c>
      <c r="AN40" s="1">
        <f t="shared" si="78"/>
        <v>6.4470381439376417E-2</v>
      </c>
      <c r="AO40" s="1">
        <f t="shared" si="79"/>
        <v>6.4470381439376417E-2</v>
      </c>
      <c r="AP40" s="1">
        <f t="shared" si="80"/>
        <v>0</v>
      </c>
      <c r="AQ40" s="1">
        <f t="shared" si="81"/>
        <v>0.10640789273646799</v>
      </c>
      <c r="AR40" s="1">
        <f t="shared" si="82"/>
        <v>0.10640789273646799</v>
      </c>
      <c r="AS40" s="8">
        <f t="shared" si="83"/>
        <v>0</v>
      </c>
      <c r="AT40" s="1"/>
    </row>
    <row r="41" spans="1:4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3">
        <v>1</v>
      </c>
      <c r="K41" s="3">
        <v>1</v>
      </c>
      <c r="L41" s="1" cm="1">
        <f t="array" ref="L41">INDEX(B:B, 14 + INT((ROW()-14)/8)*8)*J41
+ INDEX(C:C, 14 + INT((ROW()-14)/8)*8)*K41
+ INDEX(A:A, 14 + INT((ROW()-14)/8)*8)</f>
        <v>-1.4629517707459048</v>
      </c>
      <c r="M41" s="1" cm="1">
        <f t="array" ref="M41">INDEX(E:E, 14 + INT((ROW()-14)/8)*8)*J41
+ INDEX(F:F, 14 + INT((ROW()-14)/8)*8)*K41
+ INDEX(D:D, 14 + INT((ROW()-14)/8)*8)</f>
        <v>-3.910963708688306</v>
      </c>
      <c r="N41" s="1">
        <f t="shared" si="63"/>
        <v>0.18801627467626628</v>
      </c>
      <c r="O41" s="1">
        <f t="shared" si="64"/>
        <v>1.9628216762164162E-2</v>
      </c>
      <c r="P41" s="1" cm="1">
        <f t="array" ref="P41">INDEX(H:H, 14 + INT((ROW()-14)/8)*8)*N41
+ INDEX(I:I, 14 + INT((ROW()-14)/8)*8)*O41
+ INDEX(G:G, 14 + INT((ROW()-14)/8)*8)</f>
        <v>-0.68232527550400779</v>
      </c>
      <c r="Q41" s="1">
        <f t="shared" si="65"/>
        <v>0.33574252294805473</v>
      </c>
      <c r="R41" s="8">
        <f>($C$7-Q41)^2</f>
        <v>0.11272304171552507</v>
      </c>
      <c r="S41" s="1">
        <f>2*(Q41-$C$7)</f>
        <v>0.67148504589610947</v>
      </c>
      <c r="T41" s="1">
        <f t="shared" si="66"/>
        <v>0.22301948123252968</v>
      </c>
      <c r="U41" s="1">
        <v>1</v>
      </c>
      <c r="V41" s="1">
        <f t="shared" si="67"/>
        <v>0.18801627467626628</v>
      </c>
      <c r="W41" s="8">
        <f t="shared" si="68"/>
        <v>1.9628216762164162E-2</v>
      </c>
      <c r="X41" s="1">
        <f t="shared" si="69"/>
        <v>0.14975424659115172</v>
      </c>
      <c r="Y41" s="1">
        <f t="shared" si="70"/>
        <v>2.8156235561019295E-2</v>
      </c>
      <c r="Z41" s="8">
        <f t="shared" si="71"/>
        <v>2.9394088131457093E-3</v>
      </c>
      <c r="AA41" s="1">
        <f>2*(Q41-$C$7)</f>
        <v>0.67148504589610947</v>
      </c>
      <c r="AB41" s="1" cm="1">
        <f t="array" ref="AB41">INDEX(H:H, 14 + INT((ROW()-14)/8)*8)</f>
        <v>-4.0400759743502217</v>
      </c>
      <c r="AC41" s="1" cm="1">
        <f t="array" ref="AC41">INDEX(I:I, 14 + INT((ROW()-14)/8)*8)</f>
        <v>-3.5424703061198834</v>
      </c>
      <c r="AD41" s="1">
        <f t="shared" si="72"/>
        <v>0.15266615513312506</v>
      </c>
      <c r="AE41" s="1">
        <f t="shared" si="73"/>
        <v>1.9242949868901658E-2</v>
      </c>
      <c r="AF41" s="1">
        <v>1</v>
      </c>
      <c r="AG41" s="1">
        <f t="shared" si="74"/>
        <v>1</v>
      </c>
      <c r="AH41" s="1">
        <f t="shared" si="75"/>
        <v>1</v>
      </c>
      <c r="AI41" s="1"/>
      <c r="AJ41" s="1"/>
      <c r="AK41" s="1">
        <v>1</v>
      </c>
      <c r="AL41" s="1">
        <f t="shared" si="76"/>
        <v>1</v>
      </c>
      <c r="AM41" s="8">
        <f t="shared" si="77"/>
        <v>1</v>
      </c>
      <c r="AN41" s="1">
        <f t="shared" si="78"/>
        <v>-9.236585332576086E-2</v>
      </c>
      <c r="AO41" s="1">
        <f t="shared" si="79"/>
        <v>-9.236585332576086E-2</v>
      </c>
      <c r="AP41" s="1">
        <f t="shared" si="80"/>
        <v>-9.236585332576086E-2</v>
      </c>
      <c r="AQ41" s="1">
        <f t="shared" si="81"/>
        <v>-1.0208384362118204E-2</v>
      </c>
      <c r="AR41" s="1">
        <f t="shared" si="82"/>
        <v>-1.0208384362118204E-2</v>
      </c>
      <c r="AS41" s="8">
        <f t="shared" si="83"/>
        <v>-1.0208384362118204E-2</v>
      </c>
      <c r="AT41" s="1"/>
    </row>
    <row r="42" spans="1:4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46">
        <f>SUM(R38:R41)</f>
        <v>1.7198989874488477</v>
      </c>
      <c r="S42" s="1"/>
      <c r="T42" s="1"/>
      <c r="U42" s="1"/>
      <c r="V42" s="1"/>
      <c r="W42" s="1"/>
      <c r="X42" s="1">
        <f>AVERAGE(X38:X41)</f>
        <v>-4.4037515314247308E-2</v>
      </c>
      <c r="Y42" s="1">
        <f>AVERAGE(Y38:Y41)</f>
        <v>2.1519716341723578E-3</v>
      </c>
      <c r="Z42" s="1">
        <f>AVERAGE(Z38:Z41)</f>
        <v>-4.5447960848783671E-2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>
        <f>AVERAGE(AN38:AN41)</f>
        <v>-6.2269571993250235E-3</v>
      </c>
      <c r="AO42" s="1">
        <f>AVERAGE(AO38:AO41)</f>
        <v>-6.9738679715961108E-3</v>
      </c>
      <c r="AP42" s="1">
        <f xml:space="preserve"> AVERAGE(AP38:AP41)</f>
        <v>-2.2338438437143605E-2</v>
      </c>
      <c r="AQ42" s="1">
        <f>AVERAGE(AQ38:AQ41)</f>
        <v>6.8578924812588676E-2</v>
      </c>
      <c r="AR42" s="1">
        <f>AVERAGE(AR38:AR41)</f>
        <v>2.4049877093587448E-2</v>
      </c>
      <c r="AS42" s="1">
        <f>AVERAGE(AS38:AS41)</f>
        <v>4.1997494609764818E-2</v>
      </c>
      <c r="AT42" s="1"/>
    </row>
    <row r="43" spans="1:46" ht="15" thickBot="1" x14ac:dyDescent="0.35">
      <c r="A43" s="1"/>
      <c r="B43" s="3"/>
      <c r="C43" s="1"/>
      <c r="D43" s="1"/>
      <c r="E43" s="1"/>
      <c r="F43" s="1"/>
      <c r="G43" s="1"/>
      <c r="H43" s="1"/>
      <c r="I43" s="1"/>
      <c r="J43" s="30"/>
      <c r="K43" s="31"/>
      <c r="L43" s="30"/>
      <c r="M43" s="31"/>
      <c r="N43" s="30"/>
      <c r="O43" s="31"/>
      <c r="P43" s="1"/>
      <c r="Q43" s="9"/>
      <c r="R43" s="10"/>
      <c r="S43" s="1"/>
      <c r="T43" s="11"/>
      <c r="U43" s="23"/>
      <c r="V43" s="24"/>
      <c r="W43" s="26"/>
      <c r="X43" s="32"/>
      <c r="Y43" s="33"/>
      <c r="Z43" s="34"/>
      <c r="AA43" s="35"/>
      <c r="AB43" s="25"/>
      <c r="AC43" s="21"/>
      <c r="AD43" s="22"/>
      <c r="AE43" s="11"/>
      <c r="AF43" s="11"/>
      <c r="AG43" s="23"/>
      <c r="AH43" s="24"/>
      <c r="AI43" s="25"/>
      <c r="AJ43" s="23"/>
      <c r="AK43" s="24"/>
      <c r="AL43" s="26"/>
      <c r="AM43" s="27"/>
      <c r="AN43" s="28"/>
      <c r="AO43" s="28"/>
      <c r="AP43" s="28"/>
      <c r="AQ43" s="28"/>
      <c r="AR43" s="29"/>
      <c r="AS43" s="1"/>
    </row>
    <row r="44" spans="1:46" ht="15" thickBot="1" x14ac:dyDescent="0.35">
      <c r="A44" s="1" t="s">
        <v>38</v>
      </c>
      <c r="B44" s="1">
        <v>4</v>
      </c>
      <c r="C44" s="1"/>
      <c r="D44" s="1"/>
      <c r="E44" s="1"/>
      <c r="F44" s="1"/>
      <c r="G44" s="1"/>
      <c r="H44" s="1"/>
      <c r="I44" s="1"/>
      <c r="J44" s="30" t="s">
        <v>7</v>
      </c>
      <c r="K44" s="31"/>
      <c r="L44" s="30" t="s">
        <v>8</v>
      </c>
      <c r="M44" s="31"/>
      <c r="N44" s="30" t="s">
        <v>9</v>
      </c>
      <c r="O44" s="31"/>
      <c r="P44" s="1"/>
      <c r="Q44" s="9" t="s">
        <v>10</v>
      </c>
      <c r="R44" s="10" t="s">
        <v>11</v>
      </c>
      <c r="S44" s="1"/>
      <c r="T44" s="11"/>
      <c r="U44" s="23" t="s">
        <v>13</v>
      </c>
      <c r="V44" s="24"/>
      <c r="W44" s="26"/>
      <c r="X44" s="32" t="s">
        <v>12</v>
      </c>
      <c r="Y44" s="33"/>
      <c r="Z44" s="34"/>
      <c r="AA44" s="35"/>
      <c r="AB44" s="25"/>
      <c r="AC44" s="21"/>
      <c r="AD44" s="22"/>
      <c r="AE44" s="11"/>
      <c r="AF44" s="11"/>
      <c r="AG44" s="23" t="s">
        <v>44</v>
      </c>
      <c r="AH44" s="24"/>
      <c r="AI44" s="25"/>
      <c r="AJ44" s="17"/>
      <c r="AK44" s="17"/>
      <c r="AL44" s="23" t="s">
        <v>45</v>
      </c>
      <c r="AM44" s="24"/>
      <c r="AN44" s="26"/>
      <c r="AO44" s="27" t="s">
        <v>12</v>
      </c>
      <c r="AP44" s="28"/>
      <c r="AQ44" s="28"/>
      <c r="AR44" s="28"/>
      <c r="AS44" s="28"/>
      <c r="AT44" s="29"/>
    </row>
    <row r="45" spans="1:46" ht="15" thickBot="1" x14ac:dyDescent="0.35">
      <c r="A45" s="12" t="s">
        <v>14</v>
      </c>
      <c r="B45" s="12" t="s">
        <v>15</v>
      </c>
      <c r="C45" s="12" t="s">
        <v>16</v>
      </c>
      <c r="D45" s="12" t="s">
        <v>17</v>
      </c>
      <c r="E45" s="12" t="s">
        <v>18</v>
      </c>
      <c r="F45" s="12" t="s">
        <v>19</v>
      </c>
      <c r="G45" s="12" t="s">
        <v>20</v>
      </c>
      <c r="H45" s="12" t="s">
        <v>21</v>
      </c>
      <c r="I45" s="12" t="s">
        <v>22</v>
      </c>
      <c r="J45" s="12" t="s">
        <v>23</v>
      </c>
      <c r="K45" s="12" t="s">
        <v>24</v>
      </c>
      <c r="L45" s="12" t="s">
        <v>39</v>
      </c>
      <c r="M45" s="12" t="s">
        <v>40</v>
      </c>
      <c r="N45" s="12" t="s">
        <v>41</v>
      </c>
      <c r="O45" s="12" t="s">
        <v>42</v>
      </c>
      <c r="P45" s="12" t="s">
        <v>25</v>
      </c>
      <c r="Q45" s="12" t="s">
        <v>26</v>
      </c>
      <c r="R45" s="13" t="s">
        <v>27</v>
      </c>
      <c r="S45" s="12" t="s">
        <v>43</v>
      </c>
      <c r="T45" s="12" t="s">
        <v>31</v>
      </c>
      <c r="U45" s="12" t="s">
        <v>28</v>
      </c>
      <c r="V45" s="12" t="s">
        <v>29</v>
      </c>
      <c r="W45" s="13" t="s">
        <v>30</v>
      </c>
      <c r="X45" s="12" t="s">
        <v>28</v>
      </c>
      <c r="Y45" s="12" t="s">
        <v>29</v>
      </c>
      <c r="Z45" s="13" t="s">
        <v>30</v>
      </c>
      <c r="AA45" s="12" t="s">
        <v>50</v>
      </c>
      <c r="AB45" s="12" t="s">
        <v>48</v>
      </c>
      <c r="AC45" s="12" t="s">
        <v>49</v>
      </c>
      <c r="AD45" s="12" t="s">
        <v>46</v>
      </c>
      <c r="AE45" s="12" t="s">
        <v>47</v>
      </c>
      <c r="AF45" s="12" t="s">
        <v>32</v>
      </c>
      <c r="AG45" s="12" t="s">
        <v>33</v>
      </c>
      <c r="AH45" s="12" t="s">
        <v>34</v>
      </c>
      <c r="AI45" s="12"/>
      <c r="AJ45" s="12"/>
      <c r="AK45" s="12" t="s">
        <v>35</v>
      </c>
      <c r="AL45" s="12" t="s">
        <v>36</v>
      </c>
      <c r="AM45" s="13" t="s">
        <v>37</v>
      </c>
      <c r="AN45" s="12" t="s">
        <v>32</v>
      </c>
      <c r="AO45" s="12" t="s">
        <v>33</v>
      </c>
      <c r="AP45" s="12" t="s">
        <v>34</v>
      </c>
      <c r="AQ45" s="12" t="s">
        <v>35</v>
      </c>
      <c r="AR45" s="12" t="s">
        <v>36</v>
      </c>
      <c r="AS45" s="13" t="s">
        <v>37</v>
      </c>
      <c r="AT45" s="1"/>
    </row>
    <row r="46" spans="1:46" ht="15" thickBot="1" x14ac:dyDescent="0.35">
      <c r="A46" s="3" cm="1">
        <f t="array" ref="A46">INDEX(A:A, 14 + INT((ROW()-18)/8)*8)
 - $C$9 *
 INDEX(AN:AN, 18 + INT((ROW()-18)/8)*8)</f>
        <v>-5.8329198449232971</v>
      </c>
      <c r="B46" s="3" cm="1">
        <f t="array" ref="B46">INDEX(B:B, 14 + INT((ROW()-18)/8)*8)
 - $C$9 *
 INDEX(AO:AO, 18 + INT((ROW()-18)/8)*8)</f>
        <v>4.1757400201303696</v>
      </c>
      <c r="C46" s="3" cm="1">
        <f t="array" ref="C46">INDEX(C:C, 14 + INT((ROW()-18)/8)*8)
 - $C$9 *
 INDEX(AP:AP, 18 + INT((ROW()-18)/8)*8)</f>
        <v>0.37192437208734608</v>
      </c>
      <c r="D46" s="3" cm="1">
        <f t="array" ref="D46">INDEX(D:D, 14 + INT((ROW()-18)/8)*8)
 - $C$9 *
 INDEX(AQ:AQ, 18 + INT((ROW()-18)/8)*8)</f>
        <v>4.1614743319715473</v>
      </c>
      <c r="E46" s="3" cm="1">
        <f t="array" ref="E46">INDEX(E:E, 14 + INT((ROW()-18)/8)*8)
 - $C$9 *
 INDEX(AR:AR, 18 + INT((ROW()-18)/8)*8)</f>
        <v>-4.261099240020453</v>
      </c>
      <c r="F46" s="3" cm="1">
        <f t="array" ref="F46">INDEX(F:F, 14 + INT((ROW()-18)/8)*8)
 - $C$9 *
 INDEX(AS:AS, 18 + INT((ROW()-18)/8)*8)</f>
        <v>-4.4844702832191041</v>
      </c>
      <c r="G46" s="3" cm="1">
        <f t="array" ref="G46">INDEX(G:G, 14 + INT((ROW()-18)/8)*8)
 - $C$9 *
 INDEX(X:X, 18 + INT((ROW()-18)/8)*8)</f>
        <v>0.3669947102156953</v>
      </c>
      <c r="H46" s="3" cm="1">
        <f t="array" ref="H46">INDEX(H:H, 14 + INT((ROW()-18)/8)*8)
 - $C$9 *
 INDEX(Y:Y, 18 + INT((ROW()-18)/8)*8)</f>
        <v>-4.0508358325210834</v>
      </c>
      <c r="I46" s="3" cm="1">
        <f t="array" ref="I46">INDEX(I:I, 14 + INT((ROW()-18)/8)*8)
 - $C$9 *
 INDEX(Z:Z, 18 + INT((ROW()-18)/8)*8)</f>
        <v>-3.3152305018759649</v>
      </c>
      <c r="J46" s="3">
        <v>0</v>
      </c>
      <c r="K46" s="3">
        <v>0</v>
      </c>
      <c r="L46" s="1" cm="1">
        <f t="array" ref="L46">INDEX(B:B, 14 + INT((ROW()-14)/8)*8)*J46
+ INDEX(C:C, 14 + INT((ROW()-14)/8)*8)*K46
+ INDEX(A:A, 14 + INT((ROW()-14)/8)*8)</f>
        <v>-5.8329198449232971</v>
      </c>
      <c r="M46" s="1" cm="1">
        <f t="array" ref="M46">INDEX(E:E, 14 + INT((ROW()-14)/8)*8)*J46
+ INDEX(F:F, 14 + INT((ROW()-14)/8)*8)*K46
+ INDEX(D:D, 14 + INT((ROW()-14)/8)*8)</f>
        <v>4.1614743319715473</v>
      </c>
      <c r="N46" s="1">
        <f>1/(1+EXP(-L46))</f>
        <v>2.9209537975784954E-3</v>
      </c>
      <c r="O46" s="1">
        <f>1/(1+EXP(-M46))</f>
        <v>0.98465458741416245</v>
      </c>
      <c r="P46" s="1" cm="1">
        <f t="array" ref="P46">INDEX(H:H, 14 + INT((ROW()-14)/8)*8)*N46
+ INDEX(I:I, 14 + INT((ROW()-14)/8)*8)*O46
+ INDEX(G:G, 14 + INT((ROW()-14)/8)*8)</f>
        <v>-2.9091945161001993</v>
      </c>
      <c r="Q46" s="1">
        <f>1/(1+EXP(-P46))</f>
        <v>5.1700912415616654E-2</v>
      </c>
      <c r="R46" s="8">
        <f>($C$4-Q46)^2</f>
        <v>2.6729843446072644E-3</v>
      </c>
      <c r="S46" s="1">
        <f>2*(Q46-$C$4)</f>
        <v>0.10340182483123331</v>
      </c>
      <c r="T46" s="1">
        <f>Q46*(1-Q46)</f>
        <v>4.9027928071009384E-2</v>
      </c>
      <c r="U46" s="1">
        <v>1</v>
      </c>
      <c r="V46" s="1">
        <f>N46</f>
        <v>2.9209537975784954E-3</v>
      </c>
      <c r="W46" s="8">
        <f>O46</f>
        <v>0.98465458741416245</v>
      </c>
      <c r="X46" s="1">
        <f>S46*T46*U46</f>
        <v>5.0695772302368188E-3</v>
      </c>
      <c r="Y46" s="1">
        <f>S46*T46*V46</f>
        <v>1.4808000862777707E-5</v>
      </c>
      <c r="Z46" s="8">
        <f>S46*T46*W46</f>
        <v>4.991782476003067E-3</v>
      </c>
      <c r="AA46" s="1">
        <f>2*(Q46-$C$4)</f>
        <v>0.10340182483123331</v>
      </c>
      <c r="AB46" s="1" cm="1">
        <f t="array" ref="AB46">INDEX(H:H, 14 + INT((ROW()-14)/8)*8)</f>
        <v>-4.0508358325210834</v>
      </c>
      <c r="AC46" s="1" cm="1">
        <f t="array" ref="AC46">INDEX(I:I, 14 + INT((ROW()-14)/8)*8)</f>
        <v>-3.3152305018759649</v>
      </c>
      <c r="AD46" s="1">
        <f>N46*(1-N46)</f>
        <v>2.9124218264909071E-3</v>
      </c>
      <c r="AE46" s="1">
        <f xml:space="preserve"> O46*(1-O46)</f>
        <v>1.5109930898407967E-2</v>
      </c>
      <c r="AF46" s="1">
        <v>1</v>
      </c>
      <c r="AG46" s="1">
        <f>J46</f>
        <v>0</v>
      </c>
      <c r="AH46" s="1">
        <f>K46</f>
        <v>0</v>
      </c>
      <c r="AI46" s="1"/>
      <c r="AJ46" s="1"/>
      <c r="AK46" s="1">
        <v>1</v>
      </c>
      <c r="AL46" s="1">
        <f>J46</f>
        <v>0</v>
      </c>
      <c r="AM46" s="8">
        <f>K46</f>
        <v>0</v>
      </c>
      <c r="AN46" s="1">
        <f>S46*T46*AB46*AD46*AF46</f>
        <v>-5.9809567730536061E-5</v>
      </c>
      <c r="AO46" s="1">
        <f>S46*T46*AB46*AD46*AG46</f>
        <v>0</v>
      </c>
      <c r="AP46" s="1">
        <f>S46*T46*AB46*AD46*AH46</f>
        <v>0</v>
      </c>
      <c r="AQ46" s="1">
        <f>S46*T46*AC46*AE46*AK46</f>
        <v>-2.5394984447882108E-4</v>
      </c>
      <c r="AR46" s="1">
        <f>S46*T46*AC46*AE46*AL46</f>
        <v>0</v>
      </c>
      <c r="AS46" s="8">
        <f>S46*T46*AC46*AE46*AM46</f>
        <v>0</v>
      </c>
      <c r="AT46" s="1"/>
    </row>
    <row r="47" spans="1:4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3">
        <v>0</v>
      </c>
      <c r="K47" s="3">
        <v>1</v>
      </c>
      <c r="L47" s="1" cm="1">
        <f t="array" ref="L47">INDEX(B:B, 14 + INT((ROW()-14)/8)*8)*J47
+ INDEX(C:C, 14 + INT((ROW()-14)/8)*8)*K47
+ INDEX(A:A, 14 + INT((ROW()-14)/8)*8)</f>
        <v>-5.4609954728359513</v>
      </c>
      <c r="M47" s="1" cm="1">
        <f t="array" ref="M47">INDEX(E:E, 14 + INT((ROW()-14)/8)*8)*J47
+ INDEX(F:F, 14 + INT((ROW()-14)/8)*8)*K47
+ INDEX(D:D, 14 + INT((ROW()-14)/8)*8)</f>
        <v>-0.32299595124755687</v>
      </c>
      <c r="N47" s="1">
        <f t="shared" ref="N47:N49" si="84">1/(1+EXP(-L47))</f>
        <v>4.2313432061362429E-3</v>
      </c>
      <c r="O47" s="1">
        <f t="shared" ref="O47:O49" si="85">1/(1+EXP(-M47))</f>
        <v>0.4199457855968704</v>
      </c>
      <c r="P47" s="1" cm="1">
        <f t="array" ref="P47">INDEX(H:H, 14 + INT((ROW()-14)/8)*8)*N47
+ INDEX(I:I, 14 + INT((ROW()-14)/8)*8)*O47
+ INDEX(G:G, 14 + INT((ROW()-14)/8)*8)</f>
        <v>-1.0423628440084252</v>
      </c>
      <c r="Q47" s="1">
        <f t="shared" ref="Q47:Q49" si="86">1/(1+EXP(-P47))</f>
        <v>0.26069433893822141</v>
      </c>
      <c r="R47" s="8">
        <f>($C$5-Q47)^2</f>
        <v>0.54657286047799336</v>
      </c>
      <c r="S47" s="1">
        <f>2*(Q47-$C$5)</f>
        <v>-1.4786113221235571</v>
      </c>
      <c r="T47" s="1">
        <f t="shared" ref="T47:T49" si="87">Q47*(1-Q47)</f>
        <v>0.19273280058378514</v>
      </c>
      <c r="U47" s="1">
        <v>1</v>
      </c>
      <c r="V47" s="1">
        <f t="shared" ref="V47:V49" si="88">N47</f>
        <v>4.2313432061362429E-3</v>
      </c>
      <c r="W47" s="8">
        <f t="shared" ref="W47:W49" si="89">O47</f>
        <v>0.4199457855968704</v>
      </c>
      <c r="X47" s="1">
        <f t="shared" ref="X47:X49" si="90">S47*T47*U47</f>
        <v>-0.28497690108776641</v>
      </c>
      <c r="Y47" s="1">
        <f t="shared" ref="Y47:Y49" si="91">S47*T47*V47</f>
        <v>-1.2058350743234805E-3</v>
      </c>
      <c r="Z47" s="8">
        <f t="shared" ref="Z47:Z49" si="92">S47*T47*W47</f>
        <v>-0.11967484860426369</v>
      </c>
      <c r="AA47" s="1">
        <f>2*(Q47-$C$5)</f>
        <v>-1.4786113221235571</v>
      </c>
      <c r="AB47" s="1" cm="1">
        <f t="array" ref="AB47">INDEX(H:H, 14 + INT((ROW()-14)/8)*8)</f>
        <v>-4.0508358325210834</v>
      </c>
      <c r="AC47" s="1" cm="1">
        <f t="array" ref="AC47">INDEX(I:I, 14 + INT((ROW()-14)/8)*8)</f>
        <v>-3.3152305018759649</v>
      </c>
      <c r="AD47" s="1">
        <f t="shared" ref="AD47:AD49" si="93">N47*(1-N47)</f>
        <v>4.2134389408081275E-3</v>
      </c>
      <c r="AE47" s="1">
        <f t="shared" ref="AE47:AE49" si="94" xml:space="preserve"> O47*(1-O47)</f>
        <v>0.24359132275629775</v>
      </c>
      <c r="AF47" s="1">
        <v>1</v>
      </c>
      <c r="AG47" s="1">
        <f t="shared" ref="AG47:AG49" si="95">J47</f>
        <v>0</v>
      </c>
      <c r="AH47" s="1">
        <f t="shared" ref="AH47:AH49" si="96">K47</f>
        <v>1</v>
      </c>
      <c r="AI47" s="1"/>
      <c r="AJ47" s="1"/>
      <c r="AK47" s="1">
        <v>1</v>
      </c>
      <c r="AL47" s="1">
        <f t="shared" ref="AL47:AL49" si="97">J47</f>
        <v>0</v>
      </c>
      <c r="AM47" s="8">
        <f t="shared" ref="AM47:AM49" si="98">K47</f>
        <v>1</v>
      </c>
      <c r="AN47" s="1">
        <f t="shared" ref="AN47:AN49" si="99">S47*T47*AB47*AD47*AF47</f>
        <v>4.8639713392099829E-3</v>
      </c>
      <c r="AO47" s="1">
        <f t="shared" ref="AO47:AO49" si="100">S47*T47*AB47*AD47*AG47</f>
        <v>0</v>
      </c>
      <c r="AP47" s="1">
        <f t="shared" ref="AP47:AP49" si="101">S47*T47*AB47*AD47*AH47</f>
        <v>4.8639713392099829E-3</v>
      </c>
      <c r="AQ47" s="1">
        <f t="shared" ref="AQ47:AQ49" si="102">S47*T47*AC47*AE47*AK47</f>
        <v>0.23013634042077383</v>
      </c>
      <c r="AR47" s="1">
        <f t="shared" ref="AR47:AR49" si="103">S47*T47*AC47*AE47*AL47</f>
        <v>0</v>
      </c>
      <c r="AS47" s="8">
        <f t="shared" ref="AS47:AS49" si="104">S47*T47*AC47*AE47*AM47</f>
        <v>0.23013634042077383</v>
      </c>
      <c r="AT47" s="1"/>
    </row>
    <row r="48" spans="1:4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3">
        <v>1</v>
      </c>
      <c r="K48" s="3">
        <v>0</v>
      </c>
      <c r="L48" s="1" cm="1">
        <f t="array" ref="L48">INDEX(B:B, 14 + INT((ROW()-14)/8)*8)*J48
+ INDEX(C:C, 14 + INT((ROW()-14)/8)*8)*K48
+ INDEX(A:A, 14 + INT((ROW()-14)/8)*8)</f>
        <v>-1.6571798247929275</v>
      </c>
      <c r="M48" s="1" cm="1">
        <f t="array" ref="M48">INDEX(E:E, 14 + INT((ROW()-14)/8)*8)*J48
+ INDEX(F:F, 14 + INT((ROW()-14)/8)*8)*K48
+ INDEX(D:D, 14 + INT((ROW()-14)/8)*8)</f>
        <v>-9.962490804890578E-2</v>
      </c>
      <c r="N48" s="1">
        <f t="shared" si="84"/>
        <v>0.16014093526055825</v>
      </c>
      <c r="O48" s="1">
        <f t="shared" si="85"/>
        <v>0.47511435234185601</v>
      </c>
      <c r="P48" s="1" cm="1">
        <f t="array" ref="P48">INDEX(H:H, 14 + INT((ROW()-14)/8)*8)*N48
+ INDEX(I:I, 14 + INT((ROW()-14)/8)*8)*O48
+ INDEX(G:G, 14 + INT((ROW()-14)/8)*8)</f>
        <v>-1.8568235213539785</v>
      </c>
      <c r="Q48" s="1">
        <f t="shared" si="86"/>
        <v>0.13507372619708713</v>
      </c>
      <c r="R48" s="8">
        <f>($C$6-Q48)^2</f>
        <v>0.74809745911459136</v>
      </c>
      <c r="S48" s="1">
        <f>2*(Q48-$C$6)</f>
        <v>-1.7298525476058257</v>
      </c>
      <c r="T48" s="1">
        <f t="shared" si="87"/>
        <v>0.11682881468832147</v>
      </c>
      <c r="U48" s="1">
        <v>1</v>
      </c>
      <c r="V48" s="1">
        <f t="shared" si="88"/>
        <v>0.16014093526055825</v>
      </c>
      <c r="W48" s="8">
        <f t="shared" si="89"/>
        <v>0.47511435234185601</v>
      </c>
      <c r="X48" s="1">
        <f t="shared" si="90"/>
        <v>-0.20209662272236181</v>
      </c>
      <c r="Y48" s="1">
        <f t="shared" si="91"/>
        <v>-3.2363942175759212E-2</v>
      </c>
      <c r="Z48" s="8">
        <f t="shared" si="92"/>
        <v>-9.601900601521135E-2</v>
      </c>
      <c r="AA48" s="1">
        <f>2*(Q48-$C$6)</f>
        <v>-1.7298525476058257</v>
      </c>
      <c r="AB48" s="1" cm="1">
        <f t="array" ref="AB48">INDEX(H:H, 14 + INT((ROW()-14)/8)*8)</f>
        <v>-4.0508358325210834</v>
      </c>
      <c r="AC48" s="1" cm="1">
        <f t="array" ref="AC48">INDEX(I:I, 14 + INT((ROW()-14)/8)*8)</f>
        <v>-3.3152305018759649</v>
      </c>
      <c r="AD48" s="1">
        <f t="shared" si="93"/>
        <v>0.13449581611443193</v>
      </c>
      <c r="AE48" s="1">
        <f t="shared" si="94"/>
        <v>0.24938070454063474</v>
      </c>
      <c r="AF48" s="1">
        <v>1</v>
      </c>
      <c r="AG48" s="1">
        <f t="shared" si="95"/>
        <v>1</v>
      </c>
      <c r="AH48" s="1">
        <f t="shared" si="96"/>
        <v>0</v>
      </c>
      <c r="AI48" s="1"/>
      <c r="AJ48" s="1"/>
      <c r="AK48" s="1">
        <v>1</v>
      </c>
      <c r="AL48" s="1">
        <f t="shared" si="97"/>
        <v>1</v>
      </c>
      <c r="AM48" s="8">
        <f t="shared" si="98"/>
        <v>0</v>
      </c>
      <c r="AN48" s="1">
        <f t="shared" si="99"/>
        <v>0.1101063772277122</v>
      </c>
      <c r="AO48" s="1">
        <f t="shared" si="100"/>
        <v>0.1101063772277122</v>
      </c>
      <c r="AP48" s="1">
        <f t="shared" si="101"/>
        <v>0</v>
      </c>
      <c r="AQ48" s="1">
        <f t="shared" si="102"/>
        <v>0.16708429596331131</v>
      </c>
      <c r="AR48" s="1">
        <f t="shared" si="103"/>
        <v>0.16708429596331131</v>
      </c>
      <c r="AS48" s="8">
        <f t="shared" si="104"/>
        <v>0</v>
      </c>
      <c r="AT48" s="1"/>
    </row>
    <row r="49" spans="1:4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3">
        <v>1</v>
      </c>
      <c r="K49" s="3">
        <v>1</v>
      </c>
      <c r="L49" s="1" cm="1">
        <f t="array" ref="L49">INDEX(B:B, 14 + INT((ROW()-14)/8)*8)*J49
+ INDEX(C:C, 14 + INT((ROW()-14)/8)*8)*K49
+ INDEX(A:A, 14 + INT((ROW()-14)/8)*8)</f>
        <v>-1.2852554527055817</v>
      </c>
      <c r="M49" s="1" cm="1">
        <f t="array" ref="M49">INDEX(E:E, 14 + INT((ROW()-14)/8)*8)*J49
+ INDEX(F:F, 14 + INT((ROW()-14)/8)*8)*K49
+ INDEX(D:D, 14 + INT((ROW()-14)/8)*8)</f>
        <v>-4.584095191268009</v>
      </c>
      <c r="N49" s="1">
        <f t="shared" si="84"/>
        <v>0.2166569572775873</v>
      </c>
      <c r="O49" s="1">
        <f t="shared" si="85"/>
        <v>1.0109735813266418E-2</v>
      </c>
      <c r="P49" s="1" cm="1">
        <f t="array" ref="P49">INDEX(H:H, 14 + INT((ROW()-14)/8)*8)*N49
+ INDEX(I:I, 14 + INT((ROW()-14)/8)*8)*O49
+ INDEX(G:G, 14 + INT((ROW()-14)/8)*8)</f>
        <v>-0.5441631602233935</v>
      </c>
      <c r="Q49" s="1">
        <f t="shared" si="86"/>
        <v>0.3672196576440746</v>
      </c>
      <c r="R49" s="8">
        <f>($C$7-Q49)^2</f>
        <v>0.13485027696023136</v>
      </c>
      <c r="S49" s="1">
        <f>2*(Q49-$C$7)</f>
        <v>0.73443931528814921</v>
      </c>
      <c r="T49" s="1">
        <f t="shared" si="87"/>
        <v>0.23236938068384325</v>
      </c>
      <c r="U49" s="1">
        <v>1</v>
      </c>
      <c r="V49" s="1">
        <f t="shared" si="88"/>
        <v>0.2166569572775873</v>
      </c>
      <c r="W49" s="8">
        <f t="shared" si="89"/>
        <v>1.0109735813266418E-2</v>
      </c>
      <c r="X49" s="1">
        <f t="shared" si="90"/>
        <v>0.17066120884337313</v>
      </c>
      <c r="Y49" s="1">
        <f t="shared" si="91"/>
        <v>3.6974938233320098E-2</v>
      </c>
      <c r="Z49" s="8">
        <f t="shared" si="92"/>
        <v>1.7253397349791888E-3</v>
      </c>
      <c r="AA49" s="1">
        <f>2*(Q49-$C$7)</f>
        <v>0.73443931528814921</v>
      </c>
      <c r="AB49" s="1" cm="1">
        <f t="array" ref="AB49">INDEX(H:H, 14 + INT((ROW()-14)/8)*8)</f>
        <v>-4.0508358325210834</v>
      </c>
      <c r="AC49" s="1" cm="1">
        <f t="array" ref="AC49">INDEX(I:I, 14 + INT((ROW()-14)/8)*8)</f>
        <v>-3.3152305018759649</v>
      </c>
      <c r="AD49" s="1">
        <f t="shared" si="93"/>
        <v>0.16971672014080502</v>
      </c>
      <c r="AE49" s="1">
        <f t="shared" si="94"/>
        <v>1.0007529055052375E-2</v>
      </c>
      <c r="AF49" s="1">
        <v>1</v>
      </c>
      <c r="AG49" s="1">
        <f t="shared" si="95"/>
        <v>1</v>
      </c>
      <c r="AH49" s="1">
        <f t="shared" si="96"/>
        <v>1</v>
      </c>
      <c r="AI49" s="1"/>
      <c r="AJ49" s="1"/>
      <c r="AK49" s="1">
        <v>1</v>
      </c>
      <c r="AL49" s="1">
        <f t="shared" si="97"/>
        <v>1</v>
      </c>
      <c r="AM49" s="8">
        <f t="shared" si="98"/>
        <v>1</v>
      </c>
      <c r="AN49" s="1">
        <f t="shared" si="99"/>
        <v>-0.11732865461546602</v>
      </c>
      <c r="AO49" s="1">
        <f t="shared" si="100"/>
        <v>-0.11732865461546602</v>
      </c>
      <c r="AP49" s="1">
        <f t="shared" si="101"/>
        <v>-0.11732865461546602</v>
      </c>
      <c r="AQ49" s="1">
        <f t="shared" si="102"/>
        <v>-5.6620722485872894E-3</v>
      </c>
      <c r="AR49" s="1">
        <f t="shared" si="103"/>
        <v>-5.6620722485872894E-3</v>
      </c>
      <c r="AS49" s="8">
        <f t="shared" si="104"/>
        <v>-5.6620722485872894E-3</v>
      </c>
      <c r="AT49" s="1"/>
    </row>
    <row r="50" spans="1:4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46">
        <f>SUM(R46:R49)</f>
        <v>1.4321935808974233</v>
      </c>
      <c r="S50" s="1"/>
      <c r="T50" s="1"/>
      <c r="U50" s="1"/>
      <c r="V50" s="1"/>
      <c r="W50" s="1"/>
      <c r="X50" s="1">
        <f>AVERAGE(X46:X49)</f>
        <v>-7.7835684434129582E-2</v>
      </c>
      <c r="Y50" s="1">
        <f>AVERAGE(Y46:Y49)</f>
        <v>8.5499224602504642E-4</v>
      </c>
      <c r="Z50" s="1">
        <f>AVERAGE(Z46:Z49)</f>
        <v>-5.2244183102123198E-2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>
        <f>AVERAGE(AN46:AN49)</f>
        <v>-6.0452890406859083E-4</v>
      </c>
      <c r="AO50" s="1">
        <f>AVERAGE(AO46:AO49)</f>
        <v>-1.8055693469384536E-3</v>
      </c>
      <c r="AP50" s="1">
        <f xml:space="preserve"> AVERAGE(AP46:AP49)</f>
        <v>-2.8116170819064007E-2</v>
      </c>
      <c r="AQ50" s="1">
        <f>AVERAGE(AQ46:AQ49)</f>
        <v>9.7826153572754759E-2</v>
      </c>
      <c r="AR50" s="1">
        <f>AVERAGE(AR46:AR49)</f>
        <v>4.0355555928681008E-2</v>
      </c>
      <c r="AS50" s="1">
        <f>AVERAGE(AS46:AS49)</f>
        <v>5.6118567043046637E-2</v>
      </c>
      <c r="AT50" s="1"/>
    </row>
    <row r="51" spans="1:4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6" ht="15" thickBot="1" x14ac:dyDescent="0.35">
      <c r="A52" s="1" t="s">
        <v>38</v>
      </c>
      <c r="B52" s="1">
        <v>5</v>
      </c>
      <c r="C52" s="1"/>
      <c r="D52" s="1"/>
      <c r="E52" s="1"/>
      <c r="F52" s="1"/>
      <c r="G52" s="1"/>
      <c r="H52" s="1"/>
      <c r="I52" s="1"/>
      <c r="J52" s="30" t="s">
        <v>7</v>
      </c>
      <c r="K52" s="31"/>
      <c r="L52" s="30" t="s">
        <v>8</v>
      </c>
      <c r="M52" s="31"/>
      <c r="N52" s="30" t="s">
        <v>9</v>
      </c>
      <c r="O52" s="31"/>
      <c r="P52" s="1"/>
      <c r="Q52" s="9" t="s">
        <v>10</v>
      </c>
      <c r="R52" s="10" t="s">
        <v>11</v>
      </c>
      <c r="S52" s="1"/>
      <c r="T52" s="11"/>
      <c r="U52" s="23" t="s">
        <v>13</v>
      </c>
      <c r="V52" s="24"/>
      <c r="W52" s="26"/>
      <c r="X52" s="32" t="s">
        <v>12</v>
      </c>
      <c r="Y52" s="33"/>
      <c r="Z52" s="34"/>
      <c r="AA52" s="35"/>
      <c r="AB52" s="25"/>
      <c r="AC52" s="21"/>
      <c r="AD52" s="22"/>
      <c r="AE52" s="11"/>
      <c r="AF52" s="11"/>
      <c r="AG52" s="23" t="s">
        <v>44</v>
      </c>
      <c r="AH52" s="24"/>
      <c r="AI52" s="25"/>
      <c r="AJ52" s="17"/>
      <c r="AK52" s="17"/>
      <c r="AL52" s="23" t="s">
        <v>45</v>
      </c>
      <c r="AM52" s="24"/>
      <c r="AN52" s="26"/>
      <c r="AO52" s="27" t="s">
        <v>12</v>
      </c>
      <c r="AP52" s="28"/>
      <c r="AQ52" s="28"/>
      <c r="AR52" s="28"/>
      <c r="AS52" s="28"/>
      <c r="AT52" s="29"/>
    </row>
    <row r="53" spans="1:46" ht="15" thickBot="1" x14ac:dyDescent="0.35">
      <c r="A53" s="12" t="s">
        <v>14</v>
      </c>
      <c r="B53" s="12" t="s">
        <v>15</v>
      </c>
      <c r="C53" s="12" t="s">
        <v>16</v>
      </c>
      <c r="D53" s="12" t="s">
        <v>17</v>
      </c>
      <c r="E53" s="12" t="s">
        <v>18</v>
      </c>
      <c r="F53" s="12" t="s">
        <v>19</v>
      </c>
      <c r="G53" s="12" t="s">
        <v>20</v>
      </c>
      <c r="H53" s="12" t="s">
        <v>21</v>
      </c>
      <c r="I53" s="12" t="s">
        <v>22</v>
      </c>
      <c r="J53" s="12" t="s">
        <v>23</v>
      </c>
      <c r="K53" s="12" t="s">
        <v>24</v>
      </c>
      <c r="L53" s="12" t="s">
        <v>39</v>
      </c>
      <c r="M53" s="12" t="s">
        <v>40</v>
      </c>
      <c r="N53" s="12" t="s">
        <v>41</v>
      </c>
      <c r="O53" s="12" t="s">
        <v>42</v>
      </c>
      <c r="P53" s="12" t="s">
        <v>25</v>
      </c>
      <c r="Q53" s="12" t="s">
        <v>26</v>
      </c>
      <c r="R53" s="13" t="s">
        <v>27</v>
      </c>
      <c r="S53" s="12" t="s">
        <v>43</v>
      </c>
      <c r="T53" s="12" t="s">
        <v>31</v>
      </c>
      <c r="U53" s="12" t="s">
        <v>28</v>
      </c>
      <c r="V53" s="12" t="s">
        <v>29</v>
      </c>
      <c r="W53" s="13" t="s">
        <v>30</v>
      </c>
      <c r="X53" s="12" t="s">
        <v>28</v>
      </c>
      <c r="Y53" s="12" t="s">
        <v>29</v>
      </c>
      <c r="Z53" s="13" t="s">
        <v>30</v>
      </c>
      <c r="AA53" s="12" t="s">
        <v>50</v>
      </c>
      <c r="AB53" s="12" t="s">
        <v>48</v>
      </c>
      <c r="AC53" s="12" t="s">
        <v>49</v>
      </c>
      <c r="AD53" s="12" t="s">
        <v>46</v>
      </c>
      <c r="AE53" s="12" t="s">
        <v>47</v>
      </c>
      <c r="AF53" s="12" t="s">
        <v>32</v>
      </c>
      <c r="AG53" s="12" t="s">
        <v>33</v>
      </c>
      <c r="AH53" s="12" t="s">
        <v>34</v>
      </c>
      <c r="AI53" s="12"/>
      <c r="AJ53" s="12"/>
      <c r="AK53" s="12" t="s">
        <v>35</v>
      </c>
      <c r="AL53" s="12" t="s">
        <v>36</v>
      </c>
      <c r="AM53" s="13" t="s">
        <v>37</v>
      </c>
      <c r="AN53" s="12" t="s">
        <v>32</v>
      </c>
      <c r="AO53" s="12" t="s">
        <v>33</v>
      </c>
      <c r="AP53" s="12" t="s">
        <v>34</v>
      </c>
      <c r="AQ53" s="12" t="s">
        <v>35</v>
      </c>
      <c r="AR53" s="12" t="s">
        <v>36</v>
      </c>
      <c r="AS53" s="13" t="s">
        <v>37</v>
      </c>
      <c r="AT53" s="1"/>
    </row>
    <row r="54" spans="1:46" ht="15" thickBot="1" x14ac:dyDescent="0.35">
      <c r="A54" s="3" cm="1">
        <f t="array" ref="A54">INDEX(A:A, 14 + INT((ROW()-18)/8)*8)
 - $C$9 *
 INDEX(AN:AN, 18 + INT((ROW()-18)/8)*8)</f>
        <v>-5.8298972004029537</v>
      </c>
      <c r="B54" s="3" cm="1">
        <f t="array" ref="B54">INDEX(B:B, 14 + INT((ROW()-18)/8)*8)
 - $C$9 *
 INDEX(AO:AO, 18 + INT((ROW()-18)/8)*8)</f>
        <v>4.1847678668650623</v>
      </c>
      <c r="C54" s="3" cm="1">
        <f t="array" ref="C54">INDEX(C:C, 14 + INT((ROW()-18)/8)*8)
 - $C$9 *
 INDEX(AP:AP, 18 + INT((ROW()-18)/8)*8)</f>
        <v>0.51250522618266614</v>
      </c>
      <c r="D54" s="3" cm="1">
        <f t="array" ref="D54">INDEX(D:D, 14 + INT((ROW()-18)/8)*8)
 - $C$9 *
 INDEX(AQ:AQ, 18 + INT((ROW()-18)/8)*8)</f>
        <v>3.6723435641077735</v>
      </c>
      <c r="E54" s="3" cm="1">
        <f t="array" ref="E54">INDEX(E:E, 14 + INT((ROW()-18)/8)*8)
 - $C$9 *
 INDEX(AR:AR, 18 + INT((ROW()-18)/8)*8)</f>
        <v>-4.4628770196638579</v>
      </c>
      <c r="F54" s="3" cm="1">
        <f t="array" ref="F54">INDEX(F:F, 14 + INT((ROW()-18)/8)*8)
 - $C$9 *
 INDEX(AS:AS, 18 + INT((ROW()-18)/8)*8)</f>
        <v>-4.7650631184343375</v>
      </c>
      <c r="G54" s="3" cm="1">
        <f t="array" ref="G54">INDEX(G:G, 14 + INT((ROW()-18)/8)*8)
 - $C$9 *
 INDEX(X:X, 18 + INT((ROW()-18)/8)*8)</f>
        <v>0.75617313238634321</v>
      </c>
      <c r="H54" s="3" cm="1">
        <f t="array" ref="H54">INDEX(H:H, 14 + INT((ROW()-18)/8)*8)
 - $C$9 *
 INDEX(Y:Y, 18 + INT((ROW()-18)/8)*8)</f>
        <v>-4.0551107937512088</v>
      </c>
      <c r="I54" s="3" cm="1">
        <f t="array" ref="I54">INDEX(I:I, 14 + INT((ROW()-18)/8)*8)
 - $C$9 *
 INDEX(Z:Z, 18 + INT((ROW()-18)/8)*8)</f>
        <v>-3.0540095863653489</v>
      </c>
      <c r="J54" s="3">
        <v>0</v>
      </c>
      <c r="K54" s="3">
        <v>0</v>
      </c>
      <c r="L54" s="1" cm="1">
        <f t="array" ref="L54">INDEX(B:B, 14 + INT((ROW()-14)/8)*8)*J54
+ INDEX(C:C, 14 + INT((ROW()-14)/8)*8)*K54
+ INDEX(A:A, 14 + INT((ROW()-14)/8)*8)</f>
        <v>-5.8298972004029537</v>
      </c>
      <c r="M54" s="1" cm="1">
        <f t="array" ref="M54">INDEX(E:E, 14 + INT((ROW()-14)/8)*8)*J54
+ INDEX(F:F, 14 + INT((ROW()-14)/8)*8)*K54
+ INDEX(D:D, 14 + INT((ROW()-14)/8)*8)</f>
        <v>3.6723435641077735</v>
      </c>
      <c r="N54" s="1">
        <f>1/(1+EXP(-L54))</f>
        <v>2.9297702534061424E-3</v>
      </c>
      <c r="O54" s="1">
        <f>1/(1+EXP(-M54))</f>
        <v>0.97521316866658847</v>
      </c>
      <c r="P54" s="1" cm="1">
        <f t="array" ref="P54">INDEX(H:H, 14 + INT((ROW()-14)/8)*8)*N54
+ INDEX(I:I, 14 + INT((ROW()-14)/8)*8)*O54
+ INDEX(G:G, 14 + INT((ROW()-14)/8)*8)</f>
        <v>-2.2340177764489444</v>
      </c>
      <c r="Q54" s="1">
        <f>1/(1+EXP(-P54))</f>
        <v>9.6737002620501999E-2</v>
      </c>
      <c r="R54" s="8">
        <f>($C$4-Q54)^2</f>
        <v>9.3580476759990115E-3</v>
      </c>
      <c r="S54" s="1">
        <f>2*(Q54-$C$4)</f>
        <v>0.193474005241004</v>
      </c>
      <c r="T54" s="1">
        <f>Q54*(1-Q54)</f>
        <v>8.7378954944502985E-2</v>
      </c>
      <c r="U54" s="1">
        <v>1</v>
      </c>
      <c r="V54" s="1">
        <f>N54</f>
        <v>2.9297702534061424E-3</v>
      </c>
      <c r="W54" s="8">
        <f>O54</f>
        <v>0.97521316866658847</v>
      </c>
      <c r="X54" s="1">
        <f>S54*T54*U54</f>
        <v>1.6905556386886223E-2</v>
      </c>
      <c r="Y54" s="1">
        <f>S54*T54*V54</f>
        <v>4.9529396219579478E-5</v>
      </c>
      <c r="Z54" s="8">
        <f>S54*T54*W54</f>
        <v>1.6486521212126997E-2</v>
      </c>
      <c r="AA54" s="1">
        <f>2*(Q54-$C$4)</f>
        <v>0.193474005241004</v>
      </c>
      <c r="AB54" s="1" cm="1">
        <f t="array" ref="AB54">INDEX(H:H, 14 + INT((ROW()-14)/8)*8)</f>
        <v>-4.0551107937512088</v>
      </c>
      <c r="AC54" s="1" cm="1">
        <f t="array" ref="AC54">INDEX(I:I, 14 + INT((ROW()-14)/8)*8)</f>
        <v>-3.0540095863653489</v>
      </c>
      <c r="AD54" s="1">
        <f>N54*(1-N54)</f>
        <v>2.9211866996683988E-3</v>
      </c>
      <c r="AE54" s="1">
        <f xml:space="preserve"> O54*(1-O54)</f>
        <v>2.4172444325860538E-2</v>
      </c>
      <c r="AF54" s="1">
        <v>1</v>
      </c>
      <c r="AG54" s="1">
        <f>J54</f>
        <v>0</v>
      </c>
      <c r="AH54" s="1">
        <f>K54</f>
        <v>0</v>
      </c>
      <c r="AI54" s="1"/>
      <c r="AJ54" s="1"/>
      <c r="AK54" s="1">
        <v>1</v>
      </c>
      <c r="AL54" s="1">
        <f>J54</f>
        <v>0</v>
      </c>
      <c r="AM54" s="8">
        <f>K54</f>
        <v>0</v>
      </c>
      <c r="AN54" s="1">
        <f>S54*T54*AB54*AD54*AF54</f>
        <v>-2.0025875309754592E-4</v>
      </c>
      <c r="AO54" s="1">
        <f>S54*T54*AB54*AD54*AG54</f>
        <v>0</v>
      </c>
      <c r="AP54" s="1">
        <f>S54*T54*AB54*AD54*AH54</f>
        <v>0</v>
      </c>
      <c r="AQ54" s="1">
        <f>S54*T54*AC54*AE54*AK54</f>
        <v>-1.2480168046443097E-3</v>
      </c>
      <c r="AR54" s="1">
        <f>S54*T54*AC54*AE54*AL54</f>
        <v>0</v>
      </c>
      <c r="AS54" s="8">
        <f>S54*T54*AC54*AE54*AM54</f>
        <v>0</v>
      </c>
      <c r="AT54" s="1"/>
    </row>
    <row r="55" spans="1:4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3">
        <v>0</v>
      </c>
      <c r="K55" s="3">
        <v>1</v>
      </c>
      <c r="L55" s="1" cm="1">
        <f t="array" ref="L55">INDEX(B:B, 14 + INT((ROW()-14)/8)*8)*J55
+ INDEX(C:C, 14 + INT((ROW()-14)/8)*8)*K55
+ INDEX(A:A, 14 + INT((ROW()-14)/8)*8)</f>
        <v>-5.3173919742202873</v>
      </c>
      <c r="M55" s="1" cm="1">
        <f t="array" ref="M55">INDEX(E:E, 14 + INT((ROW()-14)/8)*8)*J55
+ INDEX(F:F, 14 + INT((ROW()-14)/8)*8)*K55
+ INDEX(D:D, 14 + INT((ROW()-14)/8)*8)</f>
        <v>-1.092719554326564</v>
      </c>
      <c r="N55" s="1">
        <f t="shared" ref="N55:N57" si="105">1/(1+EXP(-L55))</f>
        <v>4.8815840463980048E-3</v>
      </c>
      <c r="O55" s="1">
        <f t="shared" ref="O55:O57" si="106">1/(1+EXP(-M55))</f>
        <v>0.25110651458625344</v>
      </c>
      <c r="P55" s="1" cm="1">
        <f t="array" ref="P55">INDEX(H:H, 14 + INT((ROW()-14)/8)*8)*N55
+ INDEX(I:I, 14 + INT((ROW()-14)/8)*8)*O55
+ INDEX(G:G, 14 + INT((ROW()-14)/8)*8)</f>
        <v>-3.0503934516017295E-2</v>
      </c>
      <c r="Q55" s="1">
        <f t="shared" ref="Q55:Q57" si="107">1/(1+EXP(-P55))</f>
        <v>0.49237460764111757</v>
      </c>
      <c r="R55" s="8">
        <f>($C$5-Q55)^2</f>
        <v>0.2576835389675094</v>
      </c>
      <c r="S55" s="1">
        <f>2*(Q55-$C$5)</f>
        <v>-1.015250784717765</v>
      </c>
      <c r="T55" s="1">
        <f t="shared" ref="T55:T57" si="108">Q55*(1-Q55)</f>
        <v>0.24994185339137312</v>
      </c>
      <c r="U55" s="1">
        <v>1</v>
      </c>
      <c r="V55" s="1">
        <f t="shared" ref="V55:V57" si="109">N55</f>
        <v>4.8815840463980048E-3</v>
      </c>
      <c r="W55" s="8">
        <f t="shared" ref="W55:W57" si="110">O55</f>
        <v>0.25110651458625344</v>
      </c>
      <c r="X55" s="1">
        <f t="shared" ref="X55:X57" si="111">S55*T55*U55</f>
        <v>-0.25375366278940414</v>
      </c>
      <c r="Y55" s="1">
        <f t="shared" ref="Y55:Y57" si="112">S55*T55*V55</f>
        <v>-1.2387198319878143E-3</v>
      </c>
      <c r="Z55" s="8">
        <f t="shared" ref="Z55:Z57" si="113">S55*T55*W55</f>
        <v>-6.3719197826542742E-2</v>
      </c>
      <c r="AA55" s="1">
        <f>2*(Q55-$C$5)</f>
        <v>-1.015250784717765</v>
      </c>
      <c r="AB55" s="1" cm="1">
        <f t="array" ref="AB55">INDEX(H:H, 14 + INT((ROW()-14)/8)*8)</f>
        <v>-4.0551107937512088</v>
      </c>
      <c r="AC55" s="1" cm="1">
        <f t="array" ref="AC55">INDEX(I:I, 14 + INT((ROW()-14)/8)*8)</f>
        <v>-3.0540095863653489</v>
      </c>
      <c r="AD55" s="1">
        <f t="shared" ref="AD55:AD57" si="114">N55*(1-N55)</f>
        <v>4.8577541835959567E-3</v>
      </c>
      <c r="AE55" s="1">
        <f t="shared" ref="AE55:AE57" si="115" xml:space="preserve"> O55*(1-O55)</f>
        <v>0.18805203291859712</v>
      </c>
      <c r="AF55" s="1">
        <v>1</v>
      </c>
      <c r="AG55" s="1">
        <f t="shared" ref="AG55:AG57" si="116">J55</f>
        <v>0</v>
      </c>
      <c r="AH55" s="1">
        <f t="shared" ref="AH55:AH57" si="117">K55</f>
        <v>1</v>
      </c>
      <c r="AI55" s="1"/>
      <c r="AJ55" s="1"/>
      <c r="AK55" s="1">
        <v>1</v>
      </c>
      <c r="AL55" s="1">
        <f t="shared" ref="AL55:AL57" si="118">J55</f>
        <v>0</v>
      </c>
      <c r="AM55" s="8">
        <f t="shared" ref="AM55:AM57" si="119">K55</f>
        <v>1</v>
      </c>
      <c r="AN55" s="1">
        <f t="shared" ref="AN55:AN57" si="120">S55*T55*AB55*AD55*AF55</f>
        <v>4.9986252509645838E-3</v>
      </c>
      <c r="AO55" s="1">
        <f t="shared" ref="AO55:AO57" si="121">S55*T55*AB55*AD55*AG55</f>
        <v>0</v>
      </c>
      <c r="AP55" s="1">
        <f t="shared" ref="AP55:AP57" si="122">S55*T55*AB55*AD55*AH55</f>
        <v>4.9986252509645838E-3</v>
      </c>
      <c r="AQ55" s="1">
        <f t="shared" ref="AQ55:AQ57" si="123">S55*T55*AC55*AE55*AK55</f>
        <v>0.14573395407099379</v>
      </c>
      <c r="AR55" s="1">
        <f t="shared" ref="AR55:AR57" si="124">S55*T55*AC55*AE55*AL55</f>
        <v>0</v>
      </c>
      <c r="AS55" s="8">
        <f t="shared" ref="AS55:AS57" si="125">S55*T55*AC55*AE55*AM55</f>
        <v>0.14573395407099379</v>
      </c>
      <c r="AT55" s="1"/>
    </row>
    <row r="56" spans="1:4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3">
        <v>1</v>
      </c>
      <c r="K56" s="3">
        <v>0</v>
      </c>
      <c r="L56" s="1" cm="1">
        <f t="array" ref="L56">INDEX(B:B, 14 + INT((ROW()-14)/8)*8)*J56
+ INDEX(C:C, 14 + INT((ROW()-14)/8)*8)*K56
+ INDEX(A:A, 14 + INT((ROW()-14)/8)*8)</f>
        <v>-1.6451293335378914</v>
      </c>
      <c r="M56" s="1" cm="1">
        <f t="array" ref="M56">INDEX(E:E, 14 + INT((ROW()-14)/8)*8)*J56
+ INDEX(F:F, 14 + INT((ROW()-14)/8)*8)*K56
+ INDEX(D:D, 14 + INT((ROW()-14)/8)*8)</f>
        <v>-0.79053345555608434</v>
      </c>
      <c r="N56" s="1">
        <f t="shared" si="105"/>
        <v>0.16176832113109352</v>
      </c>
      <c r="O56" s="1">
        <f t="shared" si="106"/>
        <v>0.31205413764365908</v>
      </c>
      <c r="P56" s="1" cm="1">
        <f t="array" ref="P56">INDEX(H:H, 14 + INT((ROW()-14)/8)*8)*N56
+ INDEX(I:I, 14 + INT((ROW()-14)/8)*8)*O56
+ INDEX(G:G, 14 + INT((ROW()-14)/8)*8)</f>
        <v>-0.8528316605480728</v>
      </c>
      <c r="Q56" s="1">
        <f t="shared" si="107"/>
        <v>0.29883918966698331</v>
      </c>
      <c r="R56" s="8">
        <f>($C$6-Q56)^2</f>
        <v>0.4916264819468526</v>
      </c>
      <c r="S56" s="1">
        <f>2*(Q56-$C$6)</f>
        <v>-1.4023216206660334</v>
      </c>
      <c r="T56" s="1">
        <f t="shared" si="108"/>
        <v>0.20953432838616409</v>
      </c>
      <c r="U56" s="1">
        <v>1</v>
      </c>
      <c r="V56" s="1">
        <f t="shared" si="109"/>
        <v>0.16176832113109352</v>
      </c>
      <c r="W56" s="8">
        <f t="shared" si="110"/>
        <v>0.31205413764365908</v>
      </c>
      <c r="X56" s="1">
        <f t="shared" si="111"/>
        <v>-0.2938345189676545</v>
      </c>
      <c r="Y56" s="1">
        <f t="shared" si="112"/>
        <v>-4.7533116823759922E-2</v>
      </c>
      <c r="Z56" s="8">
        <f t="shared" si="113"/>
        <v>-9.1692277426390814E-2</v>
      </c>
      <c r="AA56" s="1">
        <f>2*(Q56-$C$6)</f>
        <v>-1.4023216206660334</v>
      </c>
      <c r="AB56" s="1" cm="1">
        <f t="array" ref="AB56">INDEX(H:H, 14 + INT((ROW()-14)/8)*8)</f>
        <v>-4.0551107937512088</v>
      </c>
      <c r="AC56" s="1" cm="1">
        <f t="array" ref="AC56">INDEX(I:I, 14 + INT((ROW()-14)/8)*8)</f>
        <v>-3.0540095863653489</v>
      </c>
      <c r="AD56" s="1">
        <f t="shared" si="114"/>
        <v>0.13559933140952091</v>
      </c>
      <c r="AE56" s="1">
        <f t="shared" si="115"/>
        <v>0.21467635282313136</v>
      </c>
      <c r="AF56" s="1">
        <v>1</v>
      </c>
      <c r="AG56" s="1">
        <f t="shared" si="116"/>
        <v>1</v>
      </c>
      <c r="AH56" s="1">
        <f t="shared" si="117"/>
        <v>0</v>
      </c>
      <c r="AI56" s="1"/>
      <c r="AJ56" s="1"/>
      <c r="AK56" s="1">
        <v>1</v>
      </c>
      <c r="AL56" s="1">
        <f t="shared" si="118"/>
        <v>1</v>
      </c>
      <c r="AM56" s="8">
        <f t="shared" si="119"/>
        <v>0</v>
      </c>
      <c r="AN56" s="1">
        <f t="shared" si="120"/>
        <v>0.16157087874575737</v>
      </c>
      <c r="AO56" s="1">
        <f t="shared" si="121"/>
        <v>0.16157087874575737</v>
      </c>
      <c r="AP56" s="1">
        <f t="shared" si="122"/>
        <v>0</v>
      </c>
      <c r="AQ56" s="1">
        <f t="shared" si="123"/>
        <v>0.19264485673271861</v>
      </c>
      <c r="AR56" s="1">
        <f t="shared" si="124"/>
        <v>0.19264485673271861</v>
      </c>
      <c r="AS56" s="8">
        <f t="shared" si="125"/>
        <v>0</v>
      </c>
      <c r="AT56" s="1"/>
    </row>
    <row r="57" spans="1:4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3">
        <v>1</v>
      </c>
      <c r="K57" s="3">
        <v>1</v>
      </c>
      <c r="L57" s="1" cm="1">
        <f t="array" ref="L57">INDEX(B:B, 14 + INT((ROW()-14)/8)*8)*J57
+ INDEX(C:C, 14 + INT((ROW()-14)/8)*8)*K57
+ INDEX(A:A, 14 + INT((ROW()-14)/8)*8)</f>
        <v>-1.132624107355225</v>
      </c>
      <c r="M57" s="1" cm="1">
        <f t="array" ref="M57">INDEX(E:E, 14 + INT((ROW()-14)/8)*8)*J57
+ INDEX(F:F, 14 + INT((ROW()-14)/8)*8)*K57
+ INDEX(D:D, 14 + INT((ROW()-14)/8)*8)</f>
        <v>-5.5555965739904209</v>
      </c>
      <c r="N57" s="1">
        <f t="shared" si="105"/>
        <v>0.24367715636140475</v>
      </c>
      <c r="O57" s="1">
        <f t="shared" si="106"/>
        <v>3.8508750041345826E-3</v>
      </c>
      <c r="P57" s="1" cm="1">
        <f t="array" ref="P57">INDEX(H:H, 14 + INT((ROW()-14)/8)*8)*N57
+ INDEX(I:I, 14 + INT((ROW()-14)/8)*8)*O57
+ INDEX(G:G, 14 + INT((ROW()-14)/8)*8)</f>
        <v>-0.24372534374391197</v>
      </c>
      <c r="Q57" s="1">
        <f t="shared" si="107"/>
        <v>0.43936850356934143</v>
      </c>
      <c r="R57" s="8">
        <f>($C$7-Q57)^2</f>
        <v>0.1930446819287624</v>
      </c>
      <c r="S57" s="1">
        <f>2*(Q57-$C$7)</f>
        <v>0.87873700713868286</v>
      </c>
      <c r="T57" s="1">
        <f t="shared" si="108"/>
        <v>0.24632382164057903</v>
      </c>
      <c r="U57" s="1">
        <v>1</v>
      </c>
      <c r="V57" s="1">
        <f t="shared" si="109"/>
        <v>0.24367715636140475</v>
      </c>
      <c r="W57" s="8">
        <f t="shared" si="110"/>
        <v>3.8508750041345826E-3</v>
      </c>
      <c r="X57" s="1">
        <f t="shared" si="111"/>
        <v>0.21645385781540513</v>
      </c>
      <c r="Y57" s="1">
        <f t="shared" si="112"/>
        <v>5.274486055591375E-2</v>
      </c>
      <c r="Z57" s="8">
        <f t="shared" si="113"/>
        <v>8.3353675060984463E-4</v>
      </c>
      <c r="AA57" s="1">
        <f>2*(Q57-$C$7)</f>
        <v>0.87873700713868286</v>
      </c>
      <c r="AB57" s="1" cm="1">
        <f t="array" ref="AB57">INDEX(H:H, 14 + INT((ROW()-14)/8)*8)</f>
        <v>-4.0551107937512088</v>
      </c>
      <c r="AC57" s="1" cm="1">
        <f t="array" ref="AC57">INDEX(I:I, 14 + INT((ROW()-14)/8)*8)</f>
        <v>-3.0540095863653489</v>
      </c>
      <c r="AD57" s="1">
        <f t="shared" si="114"/>
        <v>0.18429859982902425</v>
      </c>
      <c r="AE57" s="1">
        <f t="shared" si="115"/>
        <v>3.8360457658371139E-3</v>
      </c>
      <c r="AF57" s="1">
        <v>1</v>
      </c>
      <c r="AG57" s="1">
        <f t="shared" si="116"/>
        <v>1</v>
      </c>
      <c r="AH57" s="1">
        <f t="shared" si="117"/>
        <v>1</v>
      </c>
      <c r="AI57" s="1"/>
      <c r="AJ57" s="1"/>
      <c r="AK57" s="1">
        <v>1</v>
      </c>
      <c r="AL57" s="1">
        <f t="shared" si="118"/>
        <v>1</v>
      </c>
      <c r="AM57" s="8">
        <f t="shared" si="119"/>
        <v>1</v>
      </c>
      <c r="AN57" s="1">
        <f t="shared" si="120"/>
        <v>-0.16176705935280097</v>
      </c>
      <c r="AO57" s="1">
        <f t="shared" si="121"/>
        <v>-0.16176705935280097</v>
      </c>
      <c r="AP57" s="1">
        <f t="shared" si="122"/>
        <v>-0.16176705935280097</v>
      </c>
      <c r="AQ57" s="1">
        <f t="shared" si="123"/>
        <v>-2.5358263269904314E-3</v>
      </c>
      <c r="AR57" s="1">
        <f t="shared" si="124"/>
        <v>-2.5358263269904314E-3</v>
      </c>
      <c r="AS57" s="8">
        <f t="shared" si="125"/>
        <v>-2.5358263269904314E-3</v>
      </c>
      <c r="AT57" s="1"/>
    </row>
    <row r="58" spans="1:4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46">
        <f>SUM(R54:R57)</f>
        <v>0.95171275051912341</v>
      </c>
      <c r="S58" s="1"/>
      <c r="T58" s="1"/>
      <c r="U58" s="1"/>
      <c r="V58" s="1"/>
      <c r="W58" s="1"/>
      <c r="X58" s="1">
        <f>AVERAGE(X54:X57)</f>
        <v>-7.8557191888691813E-2</v>
      </c>
      <c r="Y58" s="1">
        <f>AVERAGE(Y54:Y57)</f>
        <v>1.0056383240963987E-3</v>
      </c>
      <c r="Z58" s="1">
        <f>AVERAGE(Z54:Z57)</f>
        <v>-3.452285432254918E-2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>
        <f>AVERAGE(AN54:AN57)</f>
        <v>1.1505464727058559E-3</v>
      </c>
      <c r="AO58" s="1">
        <f>AVERAGE(AO54:AO57)</f>
        <v>-4.9045151760900019E-5</v>
      </c>
      <c r="AP58" s="1">
        <f xml:space="preserve"> AVERAGE(AP54:AP57)</f>
        <v>-3.9192108525459096E-2</v>
      </c>
      <c r="AQ58" s="1">
        <f>AVERAGE(AQ54:AQ57)</f>
        <v>8.3648741918019409E-2</v>
      </c>
      <c r="AR58" s="1">
        <f>AVERAGE(AR54:AR57)</f>
        <v>4.7527257601432046E-2</v>
      </c>
      <c r="AS58" s="1">
        <f>AVERAGE(AS54:AS57)</f>
        <v>3.5799531936000842E-2</v>
      </c>
      <c r="AT58" s="1"/>
    </row>
    <row r="59" spans="1:46" ht="15" thickBot="1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3"/>
      <c r="S59" s="12"/>
      <c r="T59" s="12"/>
      <c r="U59" s="12"/>
      <c r="V59" s="12"/>
      <c r="W59" s="13"/>
      <c r="X59" s="12"/>
      <c r="Y59" s="12"/>
      <c r="Z59" s="13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3"/>
      <c r="AM59" s="12"/>
      <c r="AN59" s="12"/>
      <c r="AO59" s="12"/>
      <c r="AP59" s="12"/>
      <c r="AQ59" s="12"/>
      <c r="AR59" s="13"/>
      <c r="AS59" s="1"/>
    </row>
    <row r="60" spans="1:46" ht="15" thickBot="1" x14ac:dyDescent="0.35">
      <c r="A60" s="1" t="s">
        <v>38</v>
      </c>
      <c r="B60" s="1">
        <v>6</v>
      </c>
      <c r="C60" s="1"/>
      <c r="D60" s="1"/>
      <c r="E60" s="1"/>
      <c r="F60" s="1"/>
      <c r="G60" s="1"/>
      <c r="H60" s="1"/>
      <c r="I60" s="1"/>
      <c r="J60" s="30" t="s">
        <v>7</v>
      </c>
      <c r="K60" s="31"/>
      <c r="L60" s="30" t="s">
        <v>8</v>
      </c>
      <c r="M60" s="31"/>
      <c r="N60" s="30" t="s">
        <v>9</v>
      </c>
      <c r="O60" s="31"/>
      <c r="P60" s="1"/>
      <c r="Q60" s="9" t="s">
        <v>10</v>
      </c>
      <c r="R60" s="10" t="s">
        <v>11</v>
      </c>
      <c r="S60" s="1"/>
      <c r="T60" s="11"/>
      <c r="U60" s="23" t="s">
        <v>13</v>
      </c>
      <c r="V60" s="24"/>
      <c r="W60" s="26"/>
      <c r="X60" s="32" t="s">
        <v>12</v>
      </c>
      <c r="Y60" s="33"/>
      <c r="Z60" s="34"/>
      <c r="AA60" s="35"/>
      <c r="AB60" s="25"/>
      <c r="AC60" s="21"/>
      <c r="AD60" s="22"/>
      <c r="AE60" s="11"/>
      <c r="AF60" s="11"/>
      <c r="AG60" s="23" t="s">
        <v>44</v>
      </c>
      <c r="AH60" s="24"/>
      <c r="AI60" s="25"/>
      <c r="AJ60" s="17"/>
      <c r="AK60" s="17"/>
      <c r="AL60" s="23" t="s">
        <v>45</v>
      </c>
      <c r="AM60" s="24"/>
      <c r="AN60" s="26"/>
      <c r="AO60" s="27" t="s">
        <v>12</v>
      </c>
      <c r="AP60" s="28"/>
      <c r="AQ60" s="28"/>
      <c r="AR60" s="28"/>
      <c r="AS60" s="28"/>
      <c r="AT60" s="29"/>
    </row>
    <row r="61" spans="1:46" ht="15" thickBot="1" x14ac:dyDescent="0.35">
      <c r="A61" s="12" t="s">
        <v>14</v>
      </c>
      <c r="B61" s="12" t="s">
        <v>15</v>
      </c>
      <c r="C61" s="12" t="s">
        <v>16</v>
      </c>
      <c r="D61" s="12" t="s">
        <v>17</v>
      </c>
      <c r="E61" s="12" t="s">
        <v>18</v>
      </c>
      <c r="F61" s="12" t="s">
        <v>19</v>
      </c>
      <c r="G61" s="12" t="s">
        <v>20</v>
      </c>
      <c r="H61" s="12" t="s">
        <v>21</v>
      </c>
      <c r="I61" s="12" t="s">
        <v>22</v>
      </c>
      <c r="J61" s="12" t="s">
        <v>23</v>
      </c>
      <c r="K61" s="12" t="s">
        <v>24</v>
      </c>
      <c r="L61" s="12" t="s">
        <v>39</v>
      </c>
      <c r="M61" s="12" t="s">
        <v>40</v>
      </c>
      <c r="N61" s="12" t="s">
        <v>41</v>
      </c>
      <c r="O61" s="12" t="s">
        <v>42</v>
      </c>
      <c r="P61" s="12" t="s">
        <v>25</v>
      </c>
      <c r="Q61" s="12" t="s">
        <v>26</v>
      </c>
      <c r="R61" s="13" t="s">
        <v>27</v>
      </c>
      <c r="S61" s="12" t="s">
        <v>43</v>
      </c>
      <c r="T61" s="12" t="s">
        <v>31</v>
      </c>
      <c r="U61" s="12" t="s">
        <v>28</v>
      </c>
      <c r="V61" s="12" t="s">
        <v>29</v>
      </c>
      <c r="W61" s="13" t="s">
        <v>30</v>
      </c>
      <c r="X61" s="12" t="s">
        <v>28</v>
      </c>
      <c r="Y61" s="12" t="s">
        <v>29</v>
      </c>
      <c r="Z61" s="13" t="s">
        <v>30</v>
      </c>
      <c r="AA61" s="12" t="s">
        <v>50</v>
      </c>
      <c r="AB61" s="12" t="s">
        <v>48</v>
      </c>
      <c r="AC61" s="12" t="s">
        <v>49</v>
      </c>
      <c r="AD61" s="12" t="s">
        <v>46</v>
      </c>
      <c r="AE61" s="12" t="s">
        <v>47</v>
      </c>
      <c r="AF61" s="12" t="s">
        <v>32</v>
      </c>
      <c r="AG61" s="12" t="s">
        <v>33</v>
      </c>
      <c r="AH61" s="12" t="s">
        <v>34</v>
      </c>
      <c r="AI61" s="12"/>
      <c r="AJ61" s="12"/>
      <c r="AK61" s="12" t="s">
        <v>35</v>
      </c>
      <c r="AL61" s="12" t="s">
        <v>36</v>
      </c>
      <c r="AM61" s="13" t="s">
        <v>37</v>
      </c>
      <c r="AN61" s="12" t="s">
        <v>32</v>
      </c>
      <c r="AO61" s="12" t="s">
        <v>33</v>
      </c>
      <c r="AP61" s="12" t="s">
        <v>34</v>
      </c>
      <c r="AQ61" s="12" t="s">
        <v>35</v>
      </c>
      <c r="AR61" s="12" t="s">
        <v>36</v>
      </c>
      <c r="AS61" s="13" t="s">
        <v>37</v>
      </c>
      <c r="AT61" s="1"/>
    </row>
    <row r="62" spans="1:46" ht="15" thickBot="1" x14ac:dyDescent="0.35">
      <c r="A62" s="3" cm="1">
        <f t="array" ref="A62">INDEX(A:A, 14 + INT((ROW()-18)/8)*8)
 - $C$9 *
 INDEX(AN:AN, 18 + INT((ROW()-18)/8)*8)</f>
        <v>-5.8356499327664828</v>
      </c>
      <c r="B62" s="3" cm="1">
        <f t="array" ref="B62">INDEX(B:B, 14 + INT((ROW()-18)/8)*8)
 - $C$9 *
 INDEX(AO:AO, 18 + INT((ROW()-18)/8)*8)</f>
        <v>4.1850130926238664</v>
      </c>
      <c r="C62" s="3" cm="1">
        <f t="array" ref="C62">INDEX(C:C, 14 + INT((ROW()-18)/8)*8)
 - $C$9 *
 INDEX(AP:AP, 18 + INT((ROW()-18)/8)*8)</f>
        <v>0.70846576880996159</v>
      </c>
      <c r="D62" s="3" cm="1">
        <f t="array" ref="D62">INDEX(D:D, 14 + INT((ROW()-18)/8)*8)
 - $C$9 *
 INDEX(AQ:AQ, 18 + INT((ROW()-18)/8)*8)</f>
        <v>3.2540998545176762</v>
      </c>
      <c r="E62" s="3" cm="1">
        <f t="array" ref="E62">INDEX(E:E, 14 + INT((ROW()-18)/8)*8)
 - $C$9 *
 INDEX(AR:AR, 18 + INT((ROW()-18)/8)*8)</f>
        <v>-4.7005133076710184</v>
      </c>
      <c r="F62" s="3" cm="1">
        <f t="array" ref="F62">INDEX(F:F, 14 + INT((ROW()-18)/8)*8)
 - $C$9 *
 INDEX(AS:AS, 18 + INT((ROW()-18)/8)*8)</f>
        <v>-4.9440607781143413</v>
      </c>
      <c r="G62" s="3" cm="1">
        <f t="array" ref="G62">INDEX(G:G, 14 + INT((ROW()-18)/8)*8)
 - $C$9 *
 INDEX(X:X, 18 + INT((ROW()-18)/8)*8)</f>
        <v>1.1489590918298023</v>
      </c>
      <c r="H62" s="3" cm="1">
        <f t="array" ref="H62">INDEX(H:H, 14 + INT((ROW()-18)/8)*8)
 - $C$9 *
 INDEX(Y:Y, 18 + INT((ROW()-18)/8)*8)</f>
        <v>-4.0601389853716912</v>
      </c>
      <c r="I62" s="3" cm="1">
        <f t="array" ref="I62">INDEX(I:I, 14 + INT((ROW()-18)/8)*8)
 - $C$9 *
 INDEX(Z:Z, 18 + INT((ROW()-18)/8)*8)</f>
        <v>-2.881395314752603</v>
      </c>
      <c r="J62" s="3">
        <v>0</v>
      </c>
      <c r="K62" s="3">
        <v>0</v>
      </c>
      <c r="L62" s="1" cm="1">
        <f t="array" ref="L62">INDEX(B:B, 14 + INT((ROW()-14)/8)*8)*J62
+ INDEX(C:C, 14 + INT((ROW()-14)/8)*8)*K62
+ INDEX(A:A, 14 + INT((ROW()-14)/8)*8)</f>
        <v>-5.8356499327664828</v>
      </c>
      <c r="M62" s="1" cm="1">
        <f t="array" ref="M62">INDEX(E:E, 14 + INT((ROW()-14)/8)*8)*J62
+ INDEX(F:F, 14 + INT((ROW()-14)/8)*8)*K62
+ INDEX(D:D, 14 + INT((ROW()-14)/8)*8)</f>
        <v>3.2540998545176762</v>
      </c>
      <c r="N62" s="1">
        <f>1/(1+EXP(-L62))</f>
        <v>2.9130134107441391E-3</v>
      </c>
      <c r="O62" s="1">
        <f>1/(1+EXP(-M62))</f>
        <v>0.96282015601913784</v>
      </c>
      <c r="P62" s="1" cm="1">
        <f t="array" ref="P62">INDEX(H:H, 14 + INT((ROW()-14)/8)*8)*N62
+ INDEX(I:I, 14 + INT((ROW()-14)/8)*8)*O62
+ INDEX(G:G, 14 + INT((ROW()-14)/8)*8)</f>
        <v>-1.6371336339869849</v>
      </c>
      <c r="Q62" s="1">
        <f>1/(1+EXP(-P62))</f>
        <v>0.16285546692835465</v>
      </c>
      <c r="R62" s="8">
        <f>($C$4-Q62)^2</f>
        <v>2.6521903108452413E-2</v>
      </c>
      <c r="S62" s="1">
        <f>2*(Q62-$C$4)</f>
        <v>0.32571093385670929</v>
      </c>
      <c r="T62" s="1">
        <f>Q62*(1-Q62)</f>
        <v>0.13633356381990225</v>
      </c>
      <c r="U62" s="1">
        <v>1</v>
      </c>
      <c r="V62" s="1">
        <f>N62</f>
        <v>2.9130134107441391E-3</v>
      </c>
      <c r="W62" s="8">
        <f>O62</f>
        <v>0.96282015601913784</v>
      </c>
      <c r="X62" s="1">
        <f>S62*T62*U62</f>
        <v>4.4405332387793636E-2</v>
      </c>
      <c r="Y62" s="1">
        <f>S62*T62*V62</f>
        <v>1.2935332875419392E-4</v>
      </c>
      <c r="Z62" s="8">
        <f>S62*T62*W62</f>
        <v>4.2754349057697143E-2</v>
      </c>
      <c r="AA62" s="1">
        <f>2*(Q62-$C$4)</f>
        <v>0.32571093385670929</v>
      </c>
      <c r="AB62" s="1" cm="1">
        <f t="array" ref="AB62">INDEX(H:H, 14 + INT((ROW()-14)/8)*8)</f>
        <v>-4.0601389853716912</v>
      </c>
      <c r="AC62" s="1" cm="1">
        <f t="array" ref="AC62">INDEX(I:I, 14 + INT((ROW()-14)/8)*8)</f>
        <v>-2.881395314752603</v>
      </c>
      <c r="AD62" s="1">
        <f>N62*(1-N62)</f>
        <v>2.9045277636129642E-3</v>
      </c>
      <c r="AE62" s="1">
        <f xml:space="preserve"> O62*(1-O62)</f>
        <v>3.5797503182420906E-2</v>
      </c>
      <c r="AF62" s="1">
        <v>1</v>
      </c>
      <c r="AG62" s="1">
        <f>J62</f>
        <v>0</v>
      </c>
      <c r="AH62" s="1">
        <f>K62</f>
        <v>0</v>
      </c>
      <c r="AI62" s="1"/>
      <c r="AJ62" s="1"/>
      <c r="AK62" s="1">
        <v>1</v>
      </c>
      <c r="AL62" s="1">
        <f>J62</f>
        <v>0</v>
      </c>
      <c r="AM62" s="8">
        <f>K62</f>
        <v>0</v>
      </c>
      <c r="AN62" s="1">
        <f>S62*T62*AB62*AD62*AF62</f>
        <v>-5.2366260018728186E-4</v>
      </c>
      <c r="AO62" s="1">
        <f>S62*T62*AB62*AD62*AG62</f>
        <v>0</v>
      </c>
      <c r="AP62" s="1">
        <f>S62*T62*AB62*AD62*AH62</f>
        <v>0</v>
      </c>
      <c r="AQ62" s="1">
        <f>S62*T62*AC62*AE62*AK62</f>
        <v>-4.5802660714783471E-3</v>
      </c>
      <c r="AR62" s="1">
        <f>S62*T62*AC62*AE62*AL62</f>
        <v>0</v>
      </c>
      <c r="AS62" s="8">
        <f>S62*T62*AC62*AE62*AM62</f>
        <v>0</v>
      </c>
      <c r="AT62" s="1"/>
    </row>
    <row r="63" spans="1:4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3">
        <v>0</v>
      </c>
      <c r="K63" s="3">
        <v>1</v>
      </c>
      <c r="L63" s="1" cm="1">
        <f t="array" ref="L63">INDEX(B:B, 14 + INT((ROW()-14)/8)*8)*J63
+ INDEX(C:C, 14 + INT((ROW()-14)/8)*8)*K63
+ INDEX(A:A, 14 + INT((ROW()-14)/8)*8)</f>
        <v>-5.127184163956521</v>
      </c>
      <c r="M63" s="1" cm="1">
        <f t="array" ref="M63">INDEX(E:E, 14 + INT((ROW()-14)/8)*8)*J63
+ INDEX(F:F, 14 + INT((ROW()-14)/8)*8)*K63
+ INDEX(D:D, 14 + INT((ROW()-14)/8)*8)</f>
        <v>-1.6899609235966651</v>
      </c>
      <c r="N63" s="1">
        <f t="shared" ref="N63:N65" si="126">1/(1+EXP(-L63))</f>
        <v>5.8982482697025286E-3</v>
      </c>
      <c r="O63" s="1">
        <f t="shared" ref="O63:O65" si="127">1/(1+EXP(-M63))</f>
        <v>0.15578097912003594</v>
      </c>
      <c r="P63" s="1" cm="1">
        <f t="array" ref="P63">INDEX(H:H, 14 + INT((ROW()-14)/8)*8)*N63
+ INDEX(I:I, 14 + INT((ROW()-14)/8)*8)*O63
+ INDEX(G:G, 14 + INT((ROW()-14)/8)*8)</f>
        <v>0.67614480072053729</v>
      </c>
      <c r="Q63" s="1">
        <f t="shared" ref="Q63:Q65" si="128">1/(1+EXP(-P63))</f>
        <v>0.66287771444391619</v>
      </c>
      <c r="R63" s="8">
        <f>($C$5-Q63)^2</f>
        <v>0.11365143541855771</v>
      </c>
      <c r="S63" s="1">
        <f>2*(Q63-$C$5)</f>
        <v>-0.67424457111216762</v>
      </c>
      <c r="T63" s="1">
        <f t="shared" ref="T63:T65" si="129">Q63*(1-Q63)</f>
        <v>0.2234708501375261</v>
      </c>
      <c r="U63" s="1">
        <v>1</v>
      </c>
      <c r="V63" s="1">
        <f t="shared" ref="V63:V65" si="130">N63</f>
        <v>5.8982482697025286E-3</v>
      </c>
      <c r="W63" s="8">
        <f t="shared" ref="W63:W65" si="131">O63</f>
        <v>0.15578097912003594</v>
      </c>
      <c r="X63" s="1">
        <f t="shared" ref="X63:X65" si="132">S63*T63*U63</f>
        <v>-0.15067400750704776</v>
      </c>
      <c r="Y63" s="1">
        <f t="shared" ref="Y63:Y65" si="133">S63*T63*V63</f>
        <v>-8.8871270406759031E-4</v>
      </c>
      <c r="Z63" s="8">
        <f t="shared" ref="Z63:Z65" si="134">S63*T63*W63</f>
        <v>-2.3472144417387545E-2</v>
      </c>
      <c r="AA63" s="1">
        <f>2*(Q63-$C$5)</f>
        <v>-0.67424457111216762</v>
      </c>
      <c r="AB63" s="1" cm="1">
        <f t="array" ref="AB63">INDEX(H:H, 14 + INT((ROW()-14)/8)*8)</f>
        <v>-4.0601389853716912</v>
      </c>
      <c r="AC63" s="1" cm="1">
        <f t="array" ref="AC63">INDEX(I:I, 14 + INT((ROW()-14)/8)*8)</f>
        <v>-2.881395314752603</v>
      </c>
      <c r="AD63" s="1">
        <f t="shared" ref="AD63:AD65" si="135">N63*(1-N63)</f>
        <v>5.86345893705148E-3</v>
      </c>
      <c r="AE63" s="1">
        <f t="shared" ref="AE63:AE65" si="136" xml:space="preserve"> O63*(1-O63)</f>
        <v>0.13151326566443886</v>
      </c>
      <c r="AF63" s="1">
        <v>1</v>
      </c>
      <c r="AG63" s="1">
        <f t="shared" ref="AG63:AG65" si="137">J63</f>
        <v>0</v>
      </c>
      <c r="AH63" s="1">
        <f t="shared" ref="AH63:AH65" si="138">K63</f>
        <v>1</v>
      </c>
      <c r="AI63" s="1"/>
      <c r="AJ63" s="1"/>
      <c r="AK63" s="1">
        <v>1</v>
      </c>
      <c r="AL63" s="1">
        <f t="shared" ref="AL63:AL65" si="139">J63</f>
        <v>0</v>
      </c>
      <c r="AM63" s="8">
        <f t="shared" ref="AM63:AM65" si="140">K63</f>
        <v>1</v>
      </c>
      <c r="AN63" s="1">
        <f t="shared" ref="AN63:AN65" si="141">S63*T63*AB63*AD63*AF63</f>
        <v>3.5870144644734431E-3</v>
      </c>
      <c r="AO63" s="1">
        <f t="shared" ref="AO63:AO65" si="142">S63*T63*AB63*AD63*AG63</f>
        <v>0</v>
      </c>
      <c r="AP63" s="1">
        <f t="shared" ref="AP63:AP65" si="143">S63*T63*AB63*AD63*AH63</f>
        <v>3.5870144644734431E-3</v>
      </c>
      <c r="AQ63" s="1">
        <f t="shared" ref="AQ63:AQ65" si="144">S63*T63*AC63*AE63*AK63</f>
        <v>5.7096665682596755E-2</v>
      </c>
      <c r="AR63" s="1">
        <f t="shared" ref="AR63:AR65" si="145">S63*T63*AC63*AE63*AL63</f>
        <v>0</v>
      </c>
      <c r="AS63" s="8">
        <f t="shared" ref="AS63:AS65" si="146">S63*T63*AC63*AE63*AM63</f>
        <v>5.7096665682596755E-2</v>
      </c>
      <c r="AT63" s="1"/>
    </row>
    <row r="64" spans="1:4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3">
        <v>1</v>
      </c>
      <c r="K64" s="3">
        <v>0</v>
      </c>
      <c r="L64" s="1" cm="1">
        <f t="array" ref="L64">INDEX(B:B, 14 + INT((ROW()-14)/8)*8)*J64
+ INDEX(C:C, 14 + INT((ROW()-14)/8)*8)*K64
+ INDEX(A:A, 14 + INT((ROW()-14)/8)*8)</f>
        <v>-1.6506368401426164</v>
      </c>
      <c r="M64" s="1" cm="1">
        <f t="array" ref="M64">INDEX(E:E, 14 + INT((ROW()-14)/8)*8)*J64
+ INDEX(F:F, 14 + INT((ROW()-14)/8)*8)*K64
+ INDEX(D:D, 14 + INT((ROW()-14)/8)*8)</f>
        <v>-1.4464134531533421</v>
      </c>
      <c r="N64" s="1">
        <f t="shared" si="126"/>
        <v>0.16102289738717387</v>
      </c>
      <c r="O64" s="1">
        <f t="shared" si="127"/>
        <v>0.1905541528441938</v>
      </c>
      <c r="P64" s="1" cm="1">
        <f t="array" ref="P64">INDEX(H:H, 14 + INT((ROW()-14)/8)*8)*N64
+ INDEX(I:I, 14 + INT((ROW()-14)/8)*8)*O64
+ INDEX(G:G, 14 + INT((ROW()-14)/8)*8)</f>
        <v>-5.3878094601279125E-2</v>
      </c>
      <c r="Q64" s="1">
        <f t="shared" si="128"/>
        <v>0.48653373373697201</v>
      </c>
      <c r="R64" s="8">
        <f>($C$6-Q64)^2</f>
        <v>0.26364760659009484</v>
      </c>
      <c r="S64" s="1">
        <f>2*(Q64-$C$6)</f>
        <v>-1.0269325325260561</v>
      </c>
      <c r="T64" s="1">
        <f t="shared" si="129"/>
        <v>0.24981865967293326</v>
      </c>
      <c r="U64" s="1">
        <v>1</v>
      </c>
      <c r="V64" s="1">
        <f t="shared" si="130"/>
        <v>0.16102289738717387</v>
      </c>
      <c r="W64" s="8">
        <f t="shared" si="131"/>
        <v>0.1905541528441938</v>
      </c>
      <c r="X64" s="1">
        <f t="shared" si="132"/>
        <v>-0.25654690885019027</v>
      </c>
      <c r="Y64" s="1">
        <f t="shared" si="133"/>
        <v>-4.130992657878084E-2</v>
      </c>
      <c r="Z64" s="8">
        <f t="shared" si="134"/>
        <v>-4.8886078880744616E-2</v>
      </c>
      <c r="AA64" s="1">
        <f>2*(Q64-$C$6)</f>
        <v>-1.0269325325260561</v>
      </c>
      <c r="AB64" s="1" cm="1">
        <f t="array" ref="AB64">INDEX(H:H, 14 + INT((ROW()-14)/8)*8)</f>
        <v>-4.0601389853716912</v>
      </c>
      <c r="AC64" s="1" cm="1">
        <f t="array" ref="AC64">INDEX(I:I, 14 + INT((ROW()-14)/8)*8)</f>
        <v>-2.881395314752603</v>
      </c>
      <c r="AD64" s="1">
        <f t="shared" si="135"/>
        <v>0.13509452390421353</v>
      </c>
      <c r="AE64" s="1">
        <f t="shared" si="136"/>
        <v>0.15424326767802543</v>
      </c>
      <c r="AF64" s="1">
        <v>1</v>
      </c>
      <c r="AG64" s="1">
        <f t="shared" si="137"/>
        <v>1</v>
      </c>
      <c r="AH64" s="1">
        <f t="shared" si="138"/>
        <v>0</v>
      </c>
      <c r="AI64" s="1"/>
      <c r="AJ64" s="1"/>
      <c r="AK64" s="1">
        <v>1</v>
      </c>
      <c r="AL64" s="1">
        <f t="shared" si="139"/>
        <v>1</v>
      </c>
      <c r="AM64" s="8">
        <f t="shared" si="140"/>
        <v>0</v>
      </c>
      <c r="AN64" s="1">
        <f t="shared" si="141"/>
        <v>0.14071663195794912</v>
      </c>
      <c r="AO64" s="1">
        <f t="shared" si="142"/>
        <v>0.14071663195794912</v>
      </c>
      <c r="AP64" s="1">
        <f t="shared" si="143"/>
        <v>0</v>
      </c>
      <c r="AQ64" s="1">
        <f t="shared" si="144"/>
        <v>0.11401863806593918</v>
      </c>
      <c r="AR64" s="1">
        <f t="shared" si="145"/>
        <v>0.11401863806593918</v>
      </c>
      <c r="AS64" s="8">
        <f t="shared" si="146"/>
        <v>0</v>
      </c>
      <c r="AT64" s="1"/>
    </row>
    <row r="65" spans="1:4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3">
        <v>1</v>
      </c>
      <c r="K65" s="3">
        <v>1</v>
      </c>
      <c r="L65" s="1" cm="1">
        <f t="array" ref="L65">INDEX(B:B, 14 + INT((ROW()-14)/8)*8)*J65
+ INDEX(C:C, 14 + INT((ROW()-14)/8)*8)*K65
+ INDEX(A:A, 14 + INT((ROW()-14)/8)*8)</f>
        <v>-0.94217107133265454</v>
      </c>
      <c r="M65" s="1" cm="1">
        <f t="array" ref="M65">INDEX(E:E, 14 + INT((ROW()-14)/8)*8)*J65
+ INDEX(F:F, 14 + INT((ROW()-14)/8)*8)*K65
+ INDEX(D:D, 14 + INT((ROW()-14)/8)*8)</f>
        <v>-6.3904742312676834</v>
      </c>
      <c r="N65" s="1">
        <f t="shared" si="126"/>
        <v>0.28046200497239571</v>
      </c>
      <c r="O65" s="1">
        <f t="shared" si="127"/>
        <v>1.6746513470093682E-3</v>
      </c>
      <c r="P65" s="1" cm="1">
        <f t="array" ref="P65">INDEX(H:H, 14 + INT((ROW()-14)/8)*8)*N65
+ INDEX(I:I, 14 + INT((ROW()-14)/8)*8)*O65
+ INDEX(G:G, 14 + INT((ROW()-14)/8)*8)</f>
        <v>5.4190389807524664E-3</v>
      </c>
      <c r="Q65" s="1">
        <f t="shared" si="128"/>
        <v>0.50135475642987681</v>
      </c>
      <c r="R65" s="8">
        <f>($C$7-Q65)^2</f>
        <v>0.25135659179486108</v>
      </c>
      <c r="S65" s="1">
        <f>2*(Q65-$C$7)</f>
        <v>1.0027095128597536</v>
      </c>
      <c r="T65" s="1">
        <f t="shared" si="129"/>
        <v>0.2499981646350157</v>
      </c>
      <c r="U65" s="1">
        <v>1</v>
      </c>
      <c r="V65" s="1">
        <f t="shared" si="130"/>
        <v>0.28046200497239571</v>
      </c>
      <c r="W65" s="8">
        <f t="shared" si="131"/>
        <v>1.6746513470093682E-3</v>
      </c>
      <c r="X65" s="1">
        <f t="shared" si="132"/>
        <v>0.25067553787700908</v>
      </c>
      <c r="Y65" s="1">
        <f t="shared" si="133"/>
        <v>7.0304963950519689E-2</v>
      </c>
      <c r="Z65" s="8">
        <f t="shared" si="134"/>
        <v>4.1979412716803112E-4</v>
      </c>
      <c r="AA65" s="1">
        <f>2*(Q65-$C$7)</f>
        <v>1.0027095128597536</v>
      </c>
      <c r="AB65" s="1" cm="1">
        <f t="array" ref="AB65">INDEX(H:H, 14 + INT((ROW()-14)/8)*8)</f>
        <v>-4.0601389853716912</v>
      </c>
      <c r="AC65" s="1" cm="1">
        <f t="array" ref="AC65">INDEX(I:I, 14 + INT((ROW()-14)/8)*8)</f>
        <v>-2.881395314752603</v>
      </c>
      <c r="AD65" s="1">
        <f t="shared" si="135"/>
        <v>0.2018030687392596</v>
      </c>
      <c r="AE65" s="1">
        <f t="shared" si="136"/>
        <v>1.6718468898753278E-3</v>
      </c>
      <c r="AF65" s="1">
        <v>1</v>
      </c>
      <c r="AG65" s="1">
        <f t="shared" si="137"/>
        <v>1</v>
      </c>
      <c r="AH65" s="1">
        <f t="shared" si="138"/>
        <v>1</v>
      </c>
      <c r="AI65" s="1"/>
      <c r="AJ65" s="1"/>
      <c r="AK65" s="1">
        <v>1</v>
      </c>
      <c r="AL65" s="1">
        <f t="shared" si="139"/>
        <v>1</v>
      </c>
      <c r="AM65" s="8">
        <f t="shared" si="140"/>
        <v>1</v>
      </c>
      <c r="AN65" s="1">
        <f t="shared" si="141"/>
        <v>-0.20539062763976224</v>
      </c>
      <c r="AO65" s="1">
        <f t="shared" si="142"/>
        <v>-0.20539062763976224</v>
      </c>
      <c r="AP65" s="1">
        <f t="shared" si="143"/>
        <v>-0.20539062763976224</v>
      </c>
      <c r="AQ65" s="1">
        <f t="shared" si="144"/>
        <v>-1.2075671849185506E-3</v>
      </c>
      <c r="AR65" s="1">
        <f t="shared" si="145"/>
        <v>-1.2075671849185506E-3</v>
      </c>
      <c r="AS65" s="8">
        <f t="shared" si="146"/>
        <v>-1.2075671849185506E-3</v>
      </c>
      <c r="AT65" s="1"/>
    </row>
    <row r="66" spans="1:4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46">
        <f>SUM(R62:R65)</f>
        <v>0.65517753691196612</v>
      </c>
      <c r="S66" s="1"/>
      <c r="T66" s="1"/>
      <c r="U66" s="1"/>
      <c r="V66" s="1"/>
      <c r="W66" s="1"/>
      <c r="X66" s="1">
        <f>AVERAGE(X62:X65)</f>
        <v>-2.8035011523108833E-2</v>
      </c>
      <c r="Y66" s="1">
        <f>AVERAGE(Y62:Y65)</f>
        <v>7.0589194991063624E-3</v>
      </c>
      <c r="Z66" s="1">
        <f>AVERAGE(Z62:Z65)</f>
        <v>-7.2960200283167468E-3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>
        <f>AVERAGE(AN62:AN65)</f>
        <v>-1.5402660954381739E-2</v>
      </c>
      <c r="AO66" s="1">
        <f>AVERAGE(AO62:AO65)</f>
        <v>-1.6168498920453279E-2</v>
      </c>
      <c r="AP66" s="1">
        <f xml:space="preserve"> AVERAGE(AP62:AP65)</f>
        <v>-5.0450903293822201E-2</v>
      </c>
      <c r="AQ66" s="1">
        <f>AVERAGE(AQ62:AQ65)</f>
        <v>4.1331867623034757E-2</v>
      </c>
      <c r="AR66" s="1">
        <f>AVERAGE(AR62:AR65)</f>
        <v>2.8202767720255158E-2</v>
      </c>
      <c r="AS66" s="1">
        <f>AVERAGE(AS62:AS65)</f>
        <v>1.3972274624419551E-2</v>
      </c>
      <c r="AT66" s="1"/>
    </row>
    <row r="67" spans="1:4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6" ht="15" thickBot="1" x14ac:dyDescent="0.35">
      <c r="A68" s="1" t="s">
        <v>38</v>
      </c>
      <c r="B68" s="1">
        <v>7</v>
      </c>
      <c r="C68" s="1"/>
      <c r="D68" s="1"/>
      <c r="E68" s="1"/>
      <c r="F68" s="1"/>
      <c r="G68" s="1"/>
      <c r="H68" s="1"/>
      <c r="I68" s="1"/>
      <c r="J68" s="30" t="s">
        <v>7</v>
      </c>
      <c r="K68" s="31"/>
      <c r="L68" s="30" t="s">
        <v>8</v>
      </c>
      <c r="M68" s="31"/>
      <c r="N68" s="30" t="s">
        <v>9</v>
      </c>
      <c r="O68" s="31"/>
      <c r="P68" s="1"/>
      <c r="Q68" s="9" t="s">
        <v>10</v>
      </c>
      <c r="R68" s="10" t="s">
        <v>11</v>
      </c>
      <c r="S68" s="1"/>
      <c r="T68" s="11"/>
      <c r="U68" s="23" t="s">
        <v>13</v>
      </c>
      <c r="V68" s="24"/>
      <c r="W68" s="26"/>
      <c r="X68" s="32" t="s">
        <v>12</v>
      </c>
      <c r="Y68" s="33"/>
      <c r="Z68" s="34"/>
      <c r="AA68" s="35"/>
      <c r="AB68" s="25"/>
      <c r="AC68" s="21"/>
      <c r="AD68" s="22"/>
      <c r="AE68" s="11"/>
      <c r="AF68" s="11"/>
      <c r="AG68" s="23" t="s">
        <v>44</v>
      </c>
      <c r="AH68" s="24"/>
      <c r="AI68" s="25"/>
      <c r="AJ68" s="17"/>
      <c r="AK68" s="17"/>
      <c r="AL68" s="23" t="s">
        <v>45</v>
      </c>
      <c r="AM68" s="24"/>
      <c r="AN68" s="26"/>
      <c r="AO68" s="27" t="s">
        <v>12</v>
      </c>
      <c r="AP68" s="28"/>
      <c r="AQ68" s="28"/>
      <c r="AR68" s="28"/>
      <c r="AS68" s="28"/>
      <c r="AT68" s="29"/>
    </row>
    <row r="69" spans="1:46" ht="15" thickBot="1" x14ac:dyDescent="0.35">
      <c r="A69" s="12" t="s">
        <v>14</v>
      </c>
      <c r="B69" s="12" t="s">
        <v>15</v>
      </c>
      <c r="C69" s="12" t="s">
        <v>16</v>
      </c>
      <c r="D69" s="12" t="s">
        <v>17</v>
      </c>
      <c r="E69" s="12" t="s">
        <v>18</v>
      </c>
      <c r="F69" s="12" t="s">
        <v>19</v>
      </c>
      <c r="G69" s="12" t="s">
        <v>20</v>
      </c>
      <c r="H69" s="12" t="s">
        <v>21</v>
      </c>
      <c r="I69" s="12" t="s">
        <v>22</v>
      </c>
      <c r="J69" s="12" t="s">
        <v>23</v>
      </c>
      <c r="K69" s="12" t="s">
        <v>24</v>
      </c>
      <c r="L69" s="12" t="s">
        <v>39</v>
      </c>
      <c r="M69" s="12" t="s">
        <v>40</v>
      </c>
      <c r="N69" s="12" t="s">
        <v>41</v>
      </c>
      <c r="O69" s="12" t="s">
        <v>42</v>
      </c>
      <c r="P69" s="12" t="s">
        <v>25</v>
      </c>
      <c r="Q69" s="12" t="s">
        <v>26</v>
      </c>
      <c r="R69" s="13" t="s">
        <v>27</v>
      </c>
      <c r="S69" s="12" t="s">
        <v>43</v>
      </c>
      <c r="T69" s="12" t="s">
        <v>31</v>
      </c>
      <c r="U69" s="12" t="s">
        <v>28</v>
      </c>
      <c r="V69" s="12" t="s">
        <v>29</v>
      </c>
      <c r="W69" s="13" t="s">
        <v>30</v>
      </c>
      <c r="X69" s="12" t="s">
        <v>28</v>
      </c>
      <c r="Y69" s="12" t="s">
        <v>29</v>
      </c>
      <c r="Z69" s="13" t="s">
        <v>30</v>
      </c>
      <c r="AA69" s="12" t="s">
        <v>50</v>
      </c>
      <c r="AB69" s="12" t="s">
        <v>48</v>
      </c>
      <c r="AC69" s="12" t="s">
        <v>49</v>
      </c>
      <c r="AD69" s="12" t="s">
        <v>46</v>
      </c>
      <c r="AE69" s="12" t="s">
        <v>47</v>
      </c>
      <c r="AF69" s="12" t="s">
        <v>32</v>
      </c>
      <c r="AG69" s="12" t="s">
        <v>33</v>
      </c>
      <c r="AH69" s="12" t="s">
        <v>34</v>
      </c>
      <c r="AI69" s="12"/>
      <c r="AJ69" s="12"/>
      <c r="AK69" s="12" t="s">
        <v>35</v>
      </c>
      <c r="AL69" s="12" t="s">
        <v>36</v>
      </c>
      <c r="AM69" s="13" t="s">
        <v>37</v>
      </c>
      <c r="AN69" s="12" t="s">
        <v>32</v>
      </c>
      <c r="AO69" s="12" t="s">
        <v>33</v>
      </c>
      <c r="AP69" s="12" t="s">
        <v>34</v>
      </c>
      <c r="AQ69" s="12" t="s">
        <v>35</v>
      </c>
      <c r="AR69" s="12" t="s">
        <v>36</v>
      </c>
      <c r="AS69" s="13" t="s">
        <v>37</v>
      </c>
      <c r="AT69" s="1"/>
    </row>
    <row r="70" spans="1:46" ht="15" thickBot="1" x14ac:dyDescent="0.35">
      <c r="A70" s="3" cm="1">
        <f t="array" ref="A70">INDEX(A:A, 14 + INT((ROW()-18)/8)*8)
 - $C$9 *
 INDEX(AN:AN, 18 + INT((ROW()-18)/8)*8)</f>
        <v>-5.7586366279945738</v>
      </c>
      <c r="B70" s="3" cm="1">
        <f t="array" ref="B70">INDEX(B:B, 14 + INT((ROW()-18)/8)*8)
 - $C$9 *
 INDEX(AO:AO, 18 + INT((ROW()-18)/8)*8)</f>
        <v>4.2658555872261328</v>
      </c>
      <c r="C70" s="3" cm="1">
        <f t="array" ref="C70">INDEX(C:C, 14 + INT((ROW()-18)/8)*8)
 - $C$9 *
 INDEX(AP:AP, 18 + INT((ROW()-18)/8)*8)</f>
        <v>0.96072028527907261</v>
      </c>
      <c r="D70" s="3" cm="1">
        <f t="array" ref="D70">INDEX(D:D, 14 + INT((ROW()-18)/8)*8)
 - $C$9 *
 INDEX(AQ:AQ, 18 + INT((ROW()-18)/8)*8)</f>
        <v>3.0474405164025025</v>
      </c>
      <c r="E70" s="3" cm="1">
        <f t="array" ref="E70">INDEX(E:E, 14 + INT((ROW()-18)/8)*8)
 - $C$9 *
 INDEX(AR:AR, 18 + INT((ROW()-18)/8)*8)</f>
        <v>-4.841527146272294</v>
      </c>
      <c r="F70" s="3" cm="1">
        <f t="array" ref="F70">INDEX(F:F, 14 + INT((ROW()-18)/8)*8)
 - $C$9 *
 INDEX(AS:AS, 18 + INT((ROW()-18)/8)*8)</f>
        <v>-5.0139221512364394</v>
      </c>
      <c r="G70" s="3" cm="1">
        <f t="array" ref="G70">INDEX(G:G, 14 + INT((ROW()-18)/8)*8)
 - $C$9 *
 INDEX(X:X, 18 + INT((ROW()-18)/8)*8)</f>
        <v>1.2891341494453465</v>
      </c>
      <c r="H70" s="3" cm="1">
        <f t="array" ref="H70">INDEX(H:H, 14 + INT((ROW()-18)/8)*8)
 - $C$9 *
 INDEX(Y:Y, 18 + INT((ROW()-18)/8)*8)</f>
        <v>-4.0954335828672228</v>
      </c>
      <c r="I70" s="3" cm="1">
        <f t="array" ref="I70">INDEX(I:I, 14 + INT((ROW()-18)/8)*8)
 - $C$9 *
 INDEX(Z:Z, 18 + INT((ROW()-18)/8)*8)</f>
        <v>-2.8449152146110195</v>
      </c>
      <c r="J70" s="3">
        <v>0</v>
      </c>
      <c r="K70" s="3">
        <v>0</v>
      </c>
      <c r="L70" s="1" cm="1">
        <f t="array" ref="L70">INDEX(B:B, 14 + INT((ROW()-14)/8)*8)*J70
+ INDEX(C:C, 14 + INT((ROW()-14)/8)*8)*K70
+ INDEX(A:A, 14 + INT((ROW()-14)/8)*8)</f>
        <v>-5.7586366279945738</v>
      </c>
      <c r="M70" s="1" cm="1">
        <f t="array" ref="M70">INDEX(E:E, 14 + INT((ROW()-14)/8)*8)*J70
+ INDEX(F:F, 14 + INT((ROW()-14)/8)*8)*K70
+ INDEX(D:D, 14 + INT((ROW()-14)/8)*8)</f>
        <v>3.0474405164025025</v>
      </c>
      <c r="N70" s="1">
        <f>1/(1+EXP(-L70))</f>
        <v>3.1454853676538106E-3</v>
      </c>
      <c r="O70" s="1">
        <f>1/(1+EXP(-M70))</f>
        <v>0.954671897593526</v>
      </c>
      <c r="P70" s="1" cm="1">
        <f t="array" ref="P70">INDEX(H:H, 14 + INT((ROW()-14)/8)*8)*N70
+ INDEX(I:I, 14 + INT((ROW()-14)/8)*8)*O70
+ INDEX(G:G, 14 + INT((ROW()-14)/8)*8)</f>
        <v>-1.4397085833891556</v>
      </c>
      <c r="Q70" s="1">
        <f>1/(1+EXP(-P70))</f>
        <v>0.19159048014939811</v>
      </c>
      <c r="R70" s="8">
        <f>($C$4-Q70)^2</f>
        <v>3.6706912083876914E-2</v>
      </c>
      <c r="S70" s="1">
        <f>2*(Q70-$C$4)</f>
        <v>0.38318096029879622</v>
      </c>
      <c r="T70" s="1">
        <f>Q70*(1-Q70)</f>
        <v>0.1548835680655212</v>
      </c>
      <c r="U70" s="1">
        <v>1</v>
      </c>
      <c r="V70" s="1">
        <f>N70</f>
        <v>3.1454853676538106E-3</v>
      </c>
      <c r="W70" s="8">
        <f>O70</f>
        <v>0.954671897593526</v>
      </c>
      <c r="X70" s="1">
        <f>S70*T70*U70</f>
        <v>5.9348434345850382E-2</v>
      </c>
      <c r="Y70" s="1">
        <f>S70*T70*V70</f>
        <v>1.8667963182803524E-4</v>
      </c>
      <c r="Z70" s="8">
        <f>S70*T70*W70</f>
        <v>5.6658282436157774E-2</v>
      </c>
      <c r="AA70" s="1">
        <f>2*(Q70-$C$4)</f>
        <v>0.38318096029879622</v>
      </c>
      <c r="AB70" s="1" cm="1">
        <f t="array" ref="AB70">INDEX(H:H, 14 + INT((ROW()-14)/8)*8)</f>
        <v>-4.0954335828672228</v>
      </c>
      <c r="AC70" s="1" cm="1">
        <f t="array" ref="AC70">INDEX(I:I, 14 + INT((ROW()-14)/8)*8)</f>
        <v>-2.8449152146110195</v>
      </c>
      <c r="AD70" s="1">
        <f>N70*(1-N70)</f>
        <v>3.1355912894556865E-3</v>
      </c>
      <c r="AE70" s="1">
        <f xml:space="preserve"> O70*(1-O70)</f>
        <v>4.3273465538702205E-2</v>
      </c>
      <c r="AF70" s="1">
        <v>1</v>
      </c>
      <c r="AG70" s="1">
        <f>J70</f>
        <v>0</v>
      </c>
      <c r="AH70" s="1">
        <f>K70</f>
        <v>0</v>
      </c>
      <c r="AI70" s="1"/>
      <c r="AJ70" s="1"/>
      <c r="AK70" s="1">
        <v>1</v>
      </c>
      <c r="AL70" s="1">
        <f>J70</f>
        <v>0</v>
      </c>
      <c r="AM70" s="8">
        <f>K70</f>
        <v>0</v>
      </c>
      <c r="AN70" s="1">
        <f>S70*T70*AB70*AD70*AF70</f>
        <v>-7.6212920281061016E-4</v>
      </c>
      <c r="AO70" s="1">
        <f>S70*T70*AB70*AD70*AG70</f>
        <v>0</v>
      </c>
      <c r="AP70" s="1">
        <f>S70*T70*AB70*AD70*AH70</f>
        <v>0</v>
      </c>
      <c r="AQ70" s="1">
        <f>S70*T70*AC70*AE70*AK70</f>
        <v>-7.3063466120251623E-3</v>
      </c>
      <c r="AR70" s="1">
        <f>S70*T70*AC70*AE70*AL70</f>
        <v>0</v>
      </c>
      <c r="AS70" s="8">
        <f>S70*T70*AC70*AE70*AM70</f>
        <v>0</v>
      </c>
      <c r="AT70" s="1"/>
    </row>
    <row r="71" spans="1:4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3">
        <v>0</v>
      </c>
      <c r="K71" s="3">
        <v>1</v>
      </c>
      <c r="L71" s="1" cm="1">
        <f t="array" ref="L71">INDEX(B:B, 14 + INT((ROW()-14)/8)*8)*J71
+ INDEX(C:C, 14 + INT((ROW()-14)/8)*8)*K71
+ INDEX(A:A, 14 + INT((ROW()-14)/8)*8)</f>
        <v>-4.7979163427155012</v>
      </c>
      <c r="M71" s="1" cm="1">
        <f t="array" ref="M71">INDEX(E:E, 14 + INT((ROW()-14)/8)*8)*J71
+ INDEX(F:F, 14 + INT((ROW()-14)/8)*8)*K71
+ INDEX(D:D, 14 + INT((ROW()-14)/8)*8)</f>
        <v>-1.9664816348339369</v>
      </c>
      <c r="N71" s="1">
        <f t="shared" ref="N71:N73" si="147">1/(1+EXP(-L71))</f>
        <v>8.1794576244811658E-3</v>
      </c>
      <c r="O71" s="1">
        <f t="shared" ref="O71:O73" si="148">1/(1+EXP(-M71))</f>
        <v>0.12276729624242594</v>
      </c>
      <c r="P71" s="1" cm="1">
        <f t="array" ref="P71">INDEX(H:H, 14 + INT((ROW()-14)/8)*8)*N71
+ INDEX(I:I, 14 + INT((ROW()-14)/8)*8)*O71
+ INDEX(G:G, 14 + INT((ROW()-14)/8)*8)</f>
        <v>0.90637317506367121</v>
      </c>
      <c r="Q71" s="1">
        <f t="shared" ref="Q71:Q73" si="149">1/(1+EXP(-P71))</f>
        <v>0.7122574292320768</v>
      </c>
      <c r="R71" s="8">
        <f>($C$5-Q71)^2</f>
        <v>8.2795787032133292E-2</v>
      </c>
      <c r="S71" s="1">
        <f>2*(Q71-$C$5)</f>
        <v>-0.5754851415358464</v>
      </c>
      <c r="T71" s="1">
        <f t="shared" ref="T71:T73" si="150">Q71*(1-Q71)</f>
        <v>0.20494678373578992</v>
      </c>
      <c r="U71" s="1">
        <v>1</v>
      </c>
      <c r="V71" s="1">
        <f t="shared" ref="V71:V73" si="151">N71</f>
        <v>8.1794576244811658E-3</v>
      </c>
      <c r="W71" s="8">
        <f t="shared" ref="W71:W73" si="152">O71</f>
        <v>0.12276729624242594</v>
      </c>
      <c r="X71" s="1">
        <f t="shared" ref="X71:X73" si="153">S71*T71*U71</f>
        <v>-0.11794382884550757</v>
      </c>
      <c r="Y71" s="1">
        <f t="shared" ref="Y71:Y73" si="154">S71*T71*V71</f>
        <v>-9.6471655011088849E-4</v>
      </c>
      <c r="Z71" s="8">
        <f t="shared" ref="Z71:Z73" si="155">S71*T71*W71</f>
        <v>-1.4479644975842408E-2</v>
      </c>
      <c r="AA71" s="1">
        <f>2*(Q71-$C$5)</f>
        <v>-0.5754851415358464</v>
      </c>
      <c r="AB71" s="1" cm="1">
        <f t="array" ref="AB71">INDEX(H:H, 14 + INT((ROW()-14)/8)*8)</f>
        <v>-4.0954335828672228</v>
      </c>
      <c r="AC71" s="1" cm="1">
        <f t="array" ref="AC71">INDEX(I:I, 14 + INT((ROW()-14)/8)*8)</f>
        <v>-2.8449152146110195</v>
      </c>
      <c r="AD71" s="1">
        <f t="shared" ref="AD71:AD73" si="156">N71*(1-N71)</f>
        <v>8.1125540974504827E-3</v>
      </c>
      <c r="AE71" s="1">
        <f t="shared" ref="AE71:AE73" si="157" xml:space="preserve"> O71*(1-O71)</f>
        <v>0.10769548721575037</v>
      </c>
      <c r="AF71" s="1">
        <v>1</v>
      </c>
      <c r="AG71" s="1">
        <f t="shared" ref="AG71:AG73" si="158">J71</f>
        <v>0</v>
      </c>
      <c r="AH71" s="1">
        <f t="shared" ref="AH71:AH73" si="159">K71</f>
        <v>1</v>
      </c>
      <c r="AI71" s="1"/>
      <c r="AJ71" s="1"/>
      <c r="AK71" s="1">
        <v>1</v>
      </c>
      <c r="AL71" s="1">
        <f t="shared" ref="AL71:AL73" si="160">J71</f>
        <v>0</v>
      </c>
      <c r="AM71" s="8">
        <f t="shared" ref="AM71:AM73" si="161">K71</f>
        <v>1</v>
      </c>
      <c r="AN71" s="1">
        <f t="shared" ref="AN71:AN73" si="162">S71*T71*AB71*AD71*AF71</f>
        <v>3.9186160718425542E-3</v>
      </c>
      <c r="AO71" s="1">
        <f t="shared" ref="AO71:AO73" si="163">S71*T71*AB71*AD71*AG71</f>
        <v>0</v>
      </c>
      <c r="AP71" s="1">
        <f t="shared" ref="AP71:AP73" si="164">S71*T71*AB71*AD71*AH71</f>
        <v>3.9186160718425542E-3</v>
      </c>
      <c r="AQ71" s="1">
        <f t="shared" ref="AQ71:AQ73" si="165">S71*T71*AC71*AE71*AK71</f>
        <v>3.613616458197836E-2</v>
      </c>
      <c r="AR71" s="1">
        <f t="shared" ref="AR71:AR73" si="166">S71*T71*AC71*AE71*AL71</f>
        <v>0</v>
      </c>
      <c r="AS71" s="8">
        <f t="shared" ref="AS71:AS73" si="167">S71*T71*AC71*AE71*AM71</f>
        <v>3.613616458197836E-2</v>
      </c>
      <c r="AT71" s="1"/>
    </row>
    <row r="72" spans="1:4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3">
        <v>1</v>
      </c>
      <c r="K72" s="3">
        <v>0</v>
      </c>
      <c r="L72" s="1" cm="1">
        <f t="array" ref="L72">INDEX(B:B, 14 + INT((ROW()-14)/8)*8)*J72
+ INDEX(C:C, 14 + INT((ROW()-14)/8)*8)*K72
+ INDEX(A:A, 14 + INT((ROW()-14)/8)*8)</f>
        <v>-1.492781040768441</v>
      </c>
      <c r="M72" s="1" cm="1">
        <f t="array" ref="M72">INDEX(E:E, 14 + INT((ROW()-14)/8)*8)*J72
+ INDEX(F:F, 14 + INT((ROW()-14)/8)*8)*K72
+ INDEX(D:D, 14 + INT((ROW()-14)/8)*8)</f>
        <v>-1.7940866298697915</v>
      </c>
      <c r="N72" s="1">
        <f t="shared" si="147"/>
        <v>0.18350467529337702</v>
      </c>
      <c r="O72" s="1">
        <f t="shared" si="148"/>
        <v>0.14257242118009861</v>
      </c>
      <c r="P72" s="1" cm="1">
        <f t="array" ref="P72">INDEX(H:H, 14 + INT((ROW()-14)/8)*8)*N72
+ INDEX(I:I, 14 + INT((ROW()-14)/8)*8)*O72
+ INDEX(G:G, 14 + INT((ROW()-14)/8)*8)</f>
        <v>0.13199648943651221</v>
      </c>
      <c r="Q72" s="1">
        <f t="shared" si="149"/>
        <v>0.53295129351285098</v>
      </c>
      <c r="R72" s="8">
        <f>($C$6-Q72)^2</f>
        <v>0.21813449423131909</v>
      </c>
      <c r="S72" s="1">
        <f>2*(Q72-$C$6)</f>
        <v>-0.93409741297429805</v>
      </c>
      <c r="T72" s="1">
        <f t="shared" si="150"/>
        <v>0.24891421225582994</v>
      </c>
      <c r="U72" s="1">
        <v>1</v>
      </c>
      <c r="V72" s="1">
        <f t="shared" si="151"/>
        <v>0.18350467529337702</v>
      </c>
      <c r="W72" s="8">
        <f t="shared" si="152"/>
        <v>0.14257242118009861</v>
      </c>
      <c r="X72" s="1">
        <f t="shared" si="153"/>
        <v>-0.23251012172070606</v>
      </c>
      <c r="Y72" s="1">
        <f t="shared" si="154"/>
        <v>-4.2666694388781734E-2</v>
      </c>
      <c r="Z72" s="8">
        <f t="shared" si="155"/>
        <v>-3.3149531002600499E-2</v>
      </c>
      <c r="AA72" s="1">
        <f>2*(Q72-$C$6)</f>
        <v>-0.93409741297429805</v>
      </c>
      <c r="AB72" s="1" cm="1">
        <f t="array" ref="AB72">INDEX(H:H, 14 + INT((ROW()-14)/8)*8)</f>
        <v>-4.0954335828672228</v>
      </c>
      <c r="AC72" s="1" cm="1">
        <f t="array" ref="AC72">INDEX(I:I, 14 + INT((ROW()-14)/8)*8)</f>
        <v>-2.8449152146110195</v>
      </c>
      <c r="AD72" s="1">
        <f t="shared" si="156"/>
        <v>0.1498307094388493</v>
      </c>
      <c r="AE72" s="1">
        <f t="shared" si="157"/>
        <v>0.12224552589894318</v>
      </c>
      <c r="AF72" s="1">
        <v>1</v>
      </c>
      <c r="AG72" s="1">
        <f t="shared" si="158"/>
        <v>1</v>
      </c>
      <c r="AH72" s="1">
        <f t="shared" si="159"/>
        <v>0</v>
      </c>
      <c r="AI72" s="1"/>
      <c r="AJ72" s="1"/>
      <c r="AK72" s="1">
        <v>1</v>
      </c>
      <c r="AL72" s="1">
        <f t="shared" si="160"/>
        <v>1</v>
      </c>
      <c r="AM72" s="8">
        <f t="shared" si="161"/>
        <v>0</v>
      </c>
      <c r="AN72" s="1">
        <f t="shared" si="162"/>
        <v>0.14267326061716984</v>
      </c>
      <c r="AO72" s="1">
        <f t="shared" si="163"/>
        <v>0.14267326061716984</v>
      </c>
      <c r="AP72" s="1">
        <f t="shared" si="164"/>
        <v>0</v>
      </c>
      <c r="AQ72" s="1">
        <f t="shared" si="165"/>
        <v>8.0861941510784963E-2</v>
      </c>
      <c r="AR72" s="1">
        <f t="shared" si="166"/>
        <v>8.0861941510784963E-2</v>
      </c>
      <c r="AS72" s="8">
        <f t="shared" si="167"/>
        <v>0</v>
      </c>
      <c r="AT72" s="1"/>
    </row>
    <row r="73" spans="1:4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3">
        <v>1</v>
      </c>
      <c r="K73" s="3">
        <v>1</v>
      </c>
      <c r="L73" s="1" cm="1">
        <f t="array" ref="L73">INDEX(B:B, 14 + INT((ROW()-14)/8)*8)*J73
+ INDEX(C:C, 14 + INT((ROW()-14)/8)*8)*K73
+ INDEX(A:A, 14 + INT((ROW()-14)/8)*8)</f>
        <v>-0.53206075548936838</v>
      </c>
      <c r="M73" s="1" cm="1">
        <f t="array" ref="M73">INDEX(E:E, 14 + INT((ROW()-14)/8)*8)*J73
+ INDEX(F:F, 14 + INT((ROW()-14)/8)*8)*K73
+ INDEX(D:D, 14 + INT((ROW()-14)/8)*8)</f>
        <v>-6.8080087811062313</v>
      </c>
      <c r="N73" s="1">
        <f t="shared" si="147"/>
        <v>0.37003637791787164</v>
      </c>
      <c r="O73" s="1">
        <f t="shared" si="148"/>
        <v>1.1036713540936321E-3</v>
      </c>
      <c r="P73" s="1" cm="1">
        <f t="array" ref="P73">INDEX(H:H, 14 + INT((ROW()-14)/8)*8)*N73
+ INDEX(I:I, 14 + INT((ROW()-14)/8)*8)*O73
+ INDEX(G:G, 14 + INT((ROW()-14)/8)*8)</f>
        <v>-0.2294651109892436</v>
      </c>
      <c r="Q73" s="1">
        <f t="shared" si="149"/>
        <v>0.44288411869140282</v>
      </c>
      <c r="R73" s="8">
        <f>($C$7-Q73)^2</f>
        <v>0.19614634258906058</v>
      </c>
      <c r="S73" s="1">
        <f>2*(Q73-$C$7)</f>
        <v>0.88576823738280563</v>
      </c>
      <c r="T73" s="1">
        <f t="shared" si="150"/>
        <v>0.24673777610234227</v>
      </c>
      <c r="U73" s="1">
        <v>1</v>
      </c>
      <c r="V73" s="1">
        <f t="shared" si="151"/>
        <v>0.37003637791787164</v>
      </c>
      <c r="W73" s="8">
        <f t="shared" si="152"/>
        <v>1.1036713540936321E-3</v>
      </c>
      <c r="X73" s="1">
        <f t="shared" si="153"/>
        <v>0.21855248503392505</v>
      </c>
      <c r="Y73" s="1">
        <f t="shared" si="154"/>
        <v>8.0872369946903472E-2</v>
      </c>
      <c r="Z73" s="8">
        <f t="shared" si="155"/>
        <v>2.4121011709792031E-4</v>
      </c>
      <c r="AA73" s="1">
        <f>2*(Q73-$C$7)</f>
        <v>0.88576823738280563</v>
      </c>
      <c r="AB73" s="1" cm="1">
        <f t="array" ref="AB73">INDEX(H:H, 14 + INT((ROW()-14)/8)*8)</f>
        <v>-4.0954335828672228</v>
      </c>
      <c r="AC73" s="1" cm="1">
        <f t="array" ref="AC73">INDEX(I:I, 14 + INT((ROW()-14)/8)*8)</f>
        <v>-2.8449152146110195</v>
      </c>
      <c r="AD73" s="1">
        <f t="shared" si="156"/>
        <v>0.2331094569352937</v>
      </c>
      <c r="AE73" s="1">
        <f t="shared" si="157"/>
        <v>1.1024532636357853E-3</v>
      </c>
      <c r="AF73" s="1">
        <v>1</v>
      </c>
      <c r="AG73" s="1">
        <f t="shared" si="158"/>
        <v>1</v>
      </c>
      <c r="AH73" s="1">
        <f t="shared" si="159"/>
        <v>1</v>
      </c>
      <c r="AI73" s="1"/>
      <c r="AJ73" s="1"/>
      <c r="AK73" s="1">
        <v>1</v>
      </c>
      <c r="AL73" s="1">
        <f t="shared" si="160"/>
        <v>1</v>
      </c>
      <c r="AM73" s="8">
        <f t="shared" si="161"/>
        <v>1</v>
      </c>
      <c r="AN73" s="1">
        <f t="shared" si="162"/>
        <v>-0.20864862584184835</v>
      </c>
      <c r="AO73" s="1">
        <f t="shared" si="163"/>
        <v>-0.20864862584184835</v>
      </c>
      <c r="AP73" s="1">
        <f t="shared" si="164"/>
        <v>-0.20864862584184835</v>
      </c>
      <c r="AQ73" s="1">
        <f t="shared" si="165"/>
        <v>-6.854649681195563E-4</v>
      </c>
      <c r="AR73" s="1">
        <f t="shared" si="166"/>
        <v>-6.854649681195563E-4</v>
      </c>
      <c r="AS73" s="8">
        <f t="shared" si="167"/>
        <v>-6.854649681195563E-4</v>
      </c>
      <c r="AT73" s="1"/>
    </row>
    <row r="74" spans="1:4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46">
        <f>SUM(R70:R73)</f>
        <v>0.53378353593638983</v>
      </c>
      <c r="S74" s="1"/>
      <c r="T74" s="1"/>
      <c r="U74" s="1"/>
      <c r="V74" s="1"/>
      <c r="W74" s="1"/>
      <c r="X74" s="1">
        <f>AVERAGE(X70:X73)</f>
        <v>-1.8138257796609547E-2</v>
      </c>
      <c r="Y74" s="1">
        <f>AVERAGE(Y70:Y73)</f>
        <v>9.3569096599597206E-3</v>
      </c>
      <c r="Z74" s="1">
        <f>AVERAGE(Z70:Z73)</f>
        <v>2.3175791437031971E-3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>
        <f>AVERAGE(AN70:AN73)</f>
        <v>-1.5704719588911641E-2</v>
      </c>
      <c r="AO74" s="1">
        <f>AVERAGE(AO70:AO73)</f>
        <v>-1.6493841306169627E-2</v>
      </c>
      <c r="AP74" s="1">
        <f xml:space="preserve"> AVERAGE(AP70:AP73)</f>
        <v>-5.118250244250145E-2</v>
      </c>
      <c r="AQ74" s="1">
        <f>AVERAGE(AQ70:AQ73)</f>
        <v>2.7251573628154651E-2</v>
      </c>
      <c r="AR74" s="1">
        <f>AVERAGE(AR70:AR73)</f>
        <v>2.0044119135666352E-2</v>
      </c>
      <c r="AS74" s="1">
        <f>AVERAGE(AS70:AS73)</f>
        <v>8.8626749034647016E-3</v>
      </c>
      <c r="AT74" s="1"/>
    </row>
    <row r="75" spans="1:4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8"/>
      <c r="S75" s="1"/>
      <c r="T75" s="1"/>
      <c r="U75" s="1"/>
      <c r="V75" s="1"/>
      <c r="W75" s="8"/>
      <c r="X75" s="1"/>
      <c r="Y75" s="1"/>
      <c r="Z75" s="8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8"/>
      <c r="AM75" s="1"/>
      <c r="AN75" s="1"/>
      <c r="AO75" s="1"/>
      <c r="AP75" s="1"/>
      <c r="AQ75" s="1"/>
      <c r="AR75" s="8"/>
      <c r="AS75" s="1"/>
    </row>
    <row r="76" spans="1:46" ht="15" thickBot="1" x14ac:dyDescent="0.35">
      <c r="A76" s="1" t="s">
        <v>38</v>
      </c>
      <c r="B76" s="1">
        <v>8</v>
      </c>
      <c r="C76" s="1"/>
      <c r="D76" s="1"/>
      <c r="E76" s="1"/>
      <c r="F76" s="1"/>
      <c r="G76" s="1"/>
      <c r="H76" s="1"/>
      <c r="I76" s="1"/>
      <c r="J76" s="30" t="s">
        <v>7</v>
      </c>
      <c r="K76" s="31"/>
      <c r="L76" s="30" t="s">
        <v>8</v>
      </c>
      <c r="M76" s="31"/>
      <c r="N76" s="30" t="s">
        <v>9</v>
      </c>
      <c r="O76" s="31"/>
      <c r="P76" s="1"/>
      <c r="Q76" s="9" t="s">
        <v>10</v>
      </c>
      <c r="R76" s="10" t="s">
        <v>11</v>
      </c>
      <c r="S76" s="1"/>
      <c r="T76" s="11"/>
      <c r="U76" s="23" t="s">
        <v>13</v>
      </c>
      <c r="V76" s="24"/>
      <c r="W76" s="26"/>
      <c r="X76" s="32" t="s">
        <v>12</v>
      </c>
      <c r="Y76" s="33"/>
      <c r="Z76" s="34"/>
      <c r="AA76" s="35"/>
      <c r="AB76" s="25"/>
      <c r="AC76" s="21"/>
      <c r="AD76" s="22"/>
      <c r="AE76" s="11"/>
      <c r="AF76" s="11"/>
      <c r="AG76" s="23" t="s">
        <v>44</v>
      </c>
      <c r="AH76" s="24"/>
      <c r="AI76" s="25"/>
      <c r="AJ76" s="17"/>
      <c r="AK76" s="17"/>
      <c r="AL76" s="23" t="s">
        <v>45</v>
      </c>
      <c r="AM76" s="24"/>
      <c r="AN76" s="26"/>
      <c r="AO76" s="27" t="s">
        <v>12</v>
      </c>
      <c r="AP76" s="28"/>
      <c r="AQ76" s="28"/>
      <c r="AR76" s="28"/>
      <c r="AS76" s="28"/>
      <c r="AT76" s="29"/>
    </row>
    <row r="77" spans="1:46" ht="15" thickBot="1" x14ac:dyDescent="0.35">
      <c r="A77" s="12" t="s">
        <v>14</v>
      </c>
      <c r="B77" s="12" t="s">
        <v>15</v>
      </c>
      <c r="C77" s="12" t="s">
        <v>16</v>
      </c>
      <c r="D77" s="12" t="s">
        <v>17</v>
      </c>
      <c r="E77" s="12" t="s">
        <v>18</v>
      </c>
      <c r="F77" s="12" t="s">
        <v>19</v>
      </c>
      <c r="G77" s="12" t="s">
        <v>20</v>
      </c>
      <c r="H77" s="12" t="s">
        <v>21</v>
      </c>
      <c r="I77" s="12" t="s">
        <v>22</v>
      </c>
      <c r="J77" s="12" t="s">
        <v>23</v>
      </c>
      <c r="K77" s="12" t="s">
        <v>24</v>
      </c>
      <c r="L77" s="12" t="s">
        <v>39</v>
      </c>
      <c r="M77" s="12" t="s">
        <v>40</v>
      </c>
      <c r="N77" s="12" t="s">
        <v>41</v>
      </c>
      <c r="O77" s="12" t="s">
        <v>42</v>
      </c>
      <c r="P77" s="12" t="s">
        <v>25</v>
      </c>
      <c r="Q77" s="12" t="s">
        <v>26</v>
      </c>
      <c r="R77" s="13" t="s">
        <v>27</v>
      </c>
      <c r="S77" s="12" t="s">
        <v>43</v>
      </c>
      <c r="T77" s="12" t="s">
        <v>31</v>
      </c>
      <c r="U77" s="12" t="s">
        <v>28</v>
      </c>
      <c r="V77" s="12" t="s">
        <v>29</v>
      </c>
      <c r="W77" s="13" t="s">
        <v>30</v>
      </c>
      <c r="X77" s="12" t="s">
        <v>28</v>
      </c>
      <c r="Y77" s="12" t="s">
        <v>29</v>
      </c>
      <c r="Z77" s="13" t="s">
        <v>30</v>
      </c>
      <c r="AA77" s="12" t="s">
        <v>50</v>
      </c>
      <c r="AB77" s="12" t="s">
        <v>48</v>
      </c>
      <c r="AC77" s="12" t="s">
        <v>49</v>
      </c>
      <c r="AD77" s="12" t="s">
        <v>46</v>
      </c>
      <c r="AE77" s="12" t="s">
        <v>47</v>
      </c>
      <c r="AF77" s="12" t="s">
        <v>32</v>
      </c>
      <c r="AG77" s="12" t="s">
        <v>33</v>
      </c>
      <c r="AH77" s="12" t="s">
        <v>34</v>
      </c>
      <c r="AI77" s="12"/>
      <c r="AJ77" s="12"/>
      <c r="AK77" s="12" t="s">
        <v>35</v>
      </c>
      <c r="AL77" s="12" t="s">
        <v>36</v>
      </c>
      <c r="AM77" s="13" t="s">
        <v>37</v>
      </c>
      <c r="AN77" s="12" t="s">
        <v>32</v>
      </c>
      <c r="AO77" s="12" t="s">
        <v>33</v>
      </c>
      <c r="AP77" s="12" t="s">
        <v>34</v>
      </c>
      <c r="AQ77" s="12" t="s">
        <v>35</v>
      </c>
      <c r="AR77" s="12" t="s">
        <v>36</v>
      </c>
      <c r="AS77" s="13" t="s">
        <v>37</v>
      </c>
      <c r="AT77" s="1"/>
    </row>
    <row r="78" spans="1:46" ht="15" thickBot="1" x14ac:dyDescent="0.35">
      <c r="A78" s="3" cm="1">
        <f t="array" ref="A78">INDEX(A:A, 14 + INT((ROW()-18)/8)*8)
 - $C$9 *
 INDEX(AN:AN, 18 + INT((ROW()-18)/8)*8)</f>
        <v>-5.6801130300500153</v>
      </c>
      <c r="B78" s="3" cm="1">
        <f t="array" ref="B78">INDEX(B:B, 14 + INT((ROW()-18)/8)*8)
 - $C$9 *
 INDEX(AO:AO, 18 + INT((ROW()-18)/8)*8)</f>
        <v>4.3483247937569809</v>
      </c>
      <c r="C78" s="3" cm="1">
        <f t="array" ref="C78">INDEX(C:C, 14 + INT((ROW()-18)/8)*8)
 - $C$9 *
 INDEX(AP:AP, 18 + INT((ROW()-18)/8)*8)</f>
        <v>1.2166327974915798</v>
      </c>
      <c r="D78" s="3" cm="1">
        <f t="array" ref="D78">INDEX(D:D, 14 + INT((ROW()-18)/8)*8)
 - $C$9 *
 INDEX(AQ:AQ, 18 + INT((ROW()-18)/8)*8)</f>
        <v>2.9111826482617293</v>
      </c>
      <c r="E78" s="3" cm="1">
        <f t="array" ref="E78">INDEX(E:E, 14 + INT((ROW()-18)/8)*8)
 - $C$9 *
 INDEX(AR:AR, 18 + INT((ROW()-18)/8)*8)</f>
        <v>-4.9417477419506257</v>
      </c>
      <c r="F78" s="3" cm="1">
        <f t="array" ref="F78">INDEX(F:F, 14 + INT((ROW()-18)/8)*8)
 - $C$9 *
 INDEX(AS:AS, 18 + INT((ROW()-18)/8)*8)</f>
        <v>-5.058235525753763</v>
      </c>
      <c r="G78" s="3" cm="1">
        <f t="array" ref="G78">INDEX(G:G, 14 + INT((ROW()-18)/8)*8)
 - $C$9 *
 INDEX(X:X, 18 + INT((ROW()-18)/8)*8)</f>
        <v>1.3798254384283943</v>
      </c>
      <c r="H78" s="3" cm="1">
        <f t="array" ref="H78">INDEX(H:H, 14 + INT((ROW()-18)/8)*8)
 - $C$9 *
 INDEX(Y:Y, 18 + INT((ROW()-18)/8)*8)</f>
        <v>-4.142218131167021</v>
      </c>
      <c r="I78" s="3" cm="1">
        <f t="array" ref="I78">INDEX(I:I, 14 + INT((ROW()-18)/8)*8)
 - $C$9 *
 INDEX(Z:Z, 18 + INT((ROW()-18)/8)*8)</f>
        <v>-2.8565031103295353</v>
      </c>
      <c r="J78" s="3">
        <v>0</v>
      </c>
      <c r="K78" s="3">
        <v>0</v>
      </c>
      <c r="L78" s="1" cm="1">
        <f t="array" ref="L78">INDEX(B:B, 14 + INT((ROW()-14)/8)*8)*J78
+ INDEX(C:C, 14 + INT((ROW()-14)/8)*8)*K78
+ INDEX(A:A, 14 + INT((ROW()-14)/8)*8)</f>
        <v>-5.6801130300500153</v>
      </c>
      <c r="M78" s="1" cm="1">
        <f t="array" ref="M78">INDEX(E:E, 14 + INT((ROW()-14)/8)*8)*J78
+ INDEX(F:F, 14 + INT((ROW()-14)/8)*8)*K78
+ INDEX(D:D, 14 + INT((ROW()-14)/8)*8)</f>
        <v>2.9111826482617293</v>
      </c>
      <c r="N78" s="1">
        <f>1/(1+EXP(-L78))</f>
        <v>3.4015625104567887E-3</v>
      </c>
      <c r="O78" s="1">
        <f>1/(1+EXP(-M78))</f>
        <v>0.94839647475389077</v>
      </c>
      <c r="P78" s="1" cm="1">
        <f t="array" ref="P78">INDEX(H:H, 14 + INT((ROW()-14)/8)*8)*N78
+ INDEX(I:I, 14 + INT((ROW()-14)/8)*8)*O78
+ INDEX(G:G, 14 + INT((ROW()-14)/8)*8)</f>
        <v>-1.3433620554367733</v>
      </c>
      <c r="Q78" s="1">
        <f>1/(1+EXP(-P78))</f>
        <v>0.20695771345149919</v>
      </c>
      <c r="R78" s="8">
        <f>($C$4-Q78)^2</f>
        <v>4.2831495157072845E-2</v>
      </c>
      <c r="S78" s="1">
        <f>2*(Q78-$C$4)</f>
        <v>0.41391542690299837</v>
      </c>
      <c r="T78" s="1">
        <f>Q78*(1-Q78)</f>
        <v>0.16412621829442633</v>
      </c>
      <c r="U78" s="1">
        <v>1</v>
      </c>
      <c r="V78" s="1">
        <f>N78</f>
        <v>3.4015625104567887E-3</v>
      </c>
      <c r="W78" s="8">
        <f>O78</f>
        <v>0.94839647475389077</v>
      </c>
      <c r="X78" s="1">
        <f>S78*T78*U78</f>
        <v>6.7934373711312182E-2</v>
      </c>
      <c r="Y78" s="1">
        <f>S78*T78*V78</f>
        <v>2.3108301878776075E-4</v>
      </c>
      <c r="Z78" s="8">
        <f>S78*T78*W78</f>
        <v>6.4428720542421866E-2</v>
      </c>
      <c r="AA78" s="1">
        <f>2*(Q78-$C$4)</f>
        <v>0.41391542690299837</v>
      </c>
      <c r="AB78" s="1" cm="1">
        <f t="array" ref="AB78">INDEX(H:H, 14 + INT((ROW()-14)/8)*8)</f>
        <v>-4.142218131167021</v>
      </c>
      <c r="AC78" s="1" cm="1">
        <f t="array" ref="AC78">INDEX(I:I, 14 + INT((ROW()-14)/8)*8)</f>
        <v>-2.8565031103295353</v>
      </c>
      <c r="AD78" s="1">
        <f>N78*(1-N78)</f>
        <v>3.3899918829442439E-3</v>
      </c>
      <c r="AE78" s="1">
        <f xml:space="preserve"> O78*(1-O78)</f>
        <v>4.8940601428283395E-2</v>
      </c>
      <c r="AF78" s="1">
        <v>1</v>
      </c>
      <c r="AG78" s="1">
        <f>J78</f>
        <v>0</v>
      </c>
      <c r="AH78" s="1">
        <f>K78</f>
        <v>0</v>
      </c>
      <c r="AI78" s="1"/>
      <c r="AJ78" s="1"/>
      <c r="AK78" s="1">
        <v>1</v>
      </c>
      <c r="AL78" s="1">
        <f>J78</f>
        <v>0</v>
      </c>
      <c r="AM78" s="8">
        <f>K78</f>
        <v>0</v>
      </c>
      <c r="AN78" s="1">
        <f>S78*T78*AB78*AD78*AF78</f>
        <v>-9.5394030727951717E-4</v>
      </c>
      <c r="AO78" s="1">
        <f>S78*T78*AB78*AD78*AG78</f>
        <v>0</v>
      </c>
      <c r="AP78" s="1">
        <f>S78*T78*AB78*AD78*AH78</f>
        <v>0</v>
      </c>
      <c r="AQ78" s="1">
        <f>S78*T78*AC78*AE78*AK78</f>
        <v>-9.4971561654547416E-3</v>
      </c>
      <c r="AR78" s="1">
        <f>S78*T78*AC78*AE78*AL78</f>
        <v>0</v>
      </c>
      <c r="AS78" s="8">
        <f>S78*T78*AC78*AE78*AM78</f>
        <v>0</v>
      </c>
      <c r="AT78" s="1"/>
    </row>
    <row r="79" spans="1:4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3">
        <v>0</v>
      </c>
      <c r="K79" s="3">
        <v>1</v>
      </c>
      <c r="L79" s="1" cm="1">
        <f t="array" ref="L79">INDEX(B:B, 14 + INT((ROW()-14)/8)*8)*J79
+ INDEX(C:C, 14 + INT((ROW()-14)/8)*8)*K79
+ INDEX(A:A, 14 + INT((ROW()-14)/8)*8)</f>
        <v>-4.4634802325584353</v>
      </c>
      <c r="M79" s="1" cm="1">
        <f t="array" ref="M79">INDEX(E:E, 14 + INT((ROW()-14)/8)*8)*J79
+ INDEX(F:F, 14 + INT((ROW()-14)/8)*8)*K79
+ INDEX(D:D, 14 + INT((ROW()-14)/8)*8)</f>
        <v>-2.1470528774920337</v>
      </c>
      <c r="N79" s="1">
        <f t="shared" ref="N79:N81" si="168">1/(1+EXP(-L79))</f>
        <v>1.1390944844111251E-2</v>
      </c>
      <c r="O79" s="1">
        <f t="shared" ref="O79:O81" si="169">1/(1+EXP(-M79))</f>
        <v>0.10460694188608283</v>
      </c>
      <c r="P79" s="1" cm="1">
        <f t="array" ref="P79">INDEX(H:H, 14 + INT((ROW()-14)/8)*8)*N79
+ INDEX(I:I, 14 + INT((ROW()-14)/8)*8)*O79
+ INDEX(G:G, 14 + INT((ROW()-14)/8)*8)</f>
        <v>1.0338316053043366</v>
      </c>
      <c r="Q79" s="1">
        <f t="shared" ref="Q79:Q81" si="170">1/(1+EXP(-P79))</f>
        <v>0.73765805782340277</v>
      </c>
      <c r="R79" s="8">
        <f>($C$5-Q79)^2</f>
        <v>6.8823294624989081E-2</v>
      </c>
      <c r="S79" s="1">
        <f>2*(Q79-$C$5)</f>
        <v>-0.52468388435319446</v>
      </c>
      <c r="T79" s="1">
        <f t="shared" ref="T79:T81" si="171">Q79*(1-Q79)</f>
        <v>0.19351864755160814</v>
      </c>
      <c r="U79" s="1">
        <v>1</v>
      </c>
      <c r="V79" s="1">
        <f t="shared" ref="V79:V81" si="172">N79</f>
        <v>1.1390944844111251E-2</v>
      </c>
      <c r="W79" s="8">
        <f t="shared" ref="W79:W81" si="173">O79</f>
        <v>0.10460694188608283</v>
      </c>
      <c r="X79" s="1">
        <f t="shared" ref="X79:X81" si="174">S79*T79*U79</f>
        <v>-0.10153611569215457</v>
      </c>
      <c r="Y79" s="1">
        <f t="shared" ref="Y79:Y81" si="175">S79*T79*V79</f>
        <v>-1.1565922935346316E-3</v>
      </c>
      <c r="Z79" s="8">
        <f t="shared" ref="Z79:Z81" si="176">S79*T79*W79</f>
        <v>-1.0621382553547795E-2</v>
      </c>
      <c r="AA79" s="1">
        <f>2*(Q79-$C$5)</f>
        <v>-0.52468388435319446</v>
      </c>
      <c r="AB79" s="1" cm="1">
        <f t="array" ref="AB79">INDEX(H:H, 14 + INT((ROW()-14)/8)*8)</f>
        <v>-4.142218131167021</v>
      </c>
      <c r="AC79" s="1" cm="1">
        <f t="array" ref="AC79">INDEX(I:I, 14 + INT((ROW()-14)/8)*8)</f>
        <v>-2.8565031103295353</v>
      </c>
      <c r="AD79" s="1">
        <f t="shared" ref="AD79:AD81" si="177">N79*(1-N79)</f>
        <v>1.1261191219669666E-2</v>
      </c>
      <c r="AE79" s="1">
        <f t="shared" ref="AE79:AE81" si="178" xml:space="preserve"> O79*(1-O79)</f>
        <v>9.3664329595324516E-2</v>
      </c>
      <c r="AF79" s="1">
        <v>1</v>
      </c>
      <c r="AG79" s="1">
        <f t="shared" ref="AG79:AG81" si="179">J79</f>
        <v>0</v>
      </c>
      <c r="AH79" s="1">
        <f t="shared" ref="AH79:AH81" si="180">K79</f>
        <v>1</v>
      </c>
      <c r="AI79" s="1"/>
      <c r="AJ79" s="1"/>
      <c r="AK79" s="1">
        <v>1</v>
      </c>
      <c r="AL79" s="1">
        <f t="shared" ref="AL79:AL81" si="181">J79</f>
        <v>0</v>
      </c>
      <c r="AM79" s="8">
        <f t="shared" ref="AM79:AM81" si="182">K79</f>
        <v>1</v>
      </c>
      <c r="AN79" s="1">
        <f t="shared" ref="AN79:AN81" si="183">S79*T79*AB79*AD79*AF79</f>
        <v>4.7362851743267473E-3</v>
      </c>
      <c r="AO79" s="1">
        <f t="shared" ref="AO79:AO81" si="184">S79*T79*AB79*AD79*AG79</f>
        <v>0</v>
      </c>
      <c r="AP79" s="1">
        <f t="shared" ref="AP79:AP81" si="185">S79*T79*AB79*AD79*AH79</f>
        <v>4.7362851743267473E-3</v>
      </c>
      <c r="AQ79" s="1">
        <f t="shared" ref="AQ79:AQ81" si="186">S79*T79*AC79*AE79*AK79</f>
        <v>2.7166236396698122E-2</v>
      </c>
      <c r="AR79" s="1">
        <f t="shared" ref="AR79:AR81" si="187">S79*T79*AC79*AE79*AL79</f>
        <v>0</v>
      </c>
      <c r="AS79" s="8">
        <f t="shared" ref="AS79:AS81" si="188">S79*T79*AC79*AE79*AM79</f>
        <v>2.7166236396698122E-2</v>
      </c>
      <c r="AT79" s="1"/>
    </row>
    <row r="80" spans="1:4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3">
        <v>1</v>
      </c>
      <c r="K80" s="3">
        <v>0</v>
      </c>
      <c r="L80" s="1" cm="1">
        <f t="array" ref="L80">INDEX(B:B, 14 + INT((ROW()-14)/8)*8)*J80
+ INDEX(C:C, 14 + INT((ROW()-14)/8)*8)*K80
+ INDEX(A:A, 14 + INT((ROW()-14)/8)*8)</f>
        <v>-1.3317882362930344</v>
      </c>
      <c r="M80" s="1" cm="1">
        <f t="array" ref="M80">INDEX(E:E, 14 + INT((ROW()-14)/8)*8)*J80
+ INDEX(F:F, 14 + INT((ROW()-14)/8)*8)*K80
+ INDEX(D:D, 14 + INT((ROW()-14)/8)*8)</f>
        <v>-2.0305650936888964</v>
      </c>
      <c r="N80" s="1">
        <f t="shared" si="168"/>
        <v>0.20886372380229498</v>
      </c>
      <c r="O80" s="1">
        <f t="shared" si="169"/>
        <v>0.11603094909329863</v>
      </c>
      <c r="P80" s="1" cm="1">
        <f t="array" ref="P80">INDEX(H:H, 14 + INT((ROW()-14)/8)*8)*N80
+ INDEX(I:I, 14 + INT((ROW()-14)/8)*8)*O80
+ INDEX(G:G, 14 + INT((ROW()-14)/8)*8)</f>
        <v>0.18322356777197157</v>
      </c>
      <c r="Q80" s="1">
        <f t="shared" si="170"/>
        <v>0.54567817535590413</v>
      </c>
      <c r="R80" s="8">
        <f>($C$6-Q80)^2</f>
        <v>0.2064083203479406</v>
      </c>
      <c r="S80" s="1">
        <f>2*(Q80-$C$6)</f>
        <v>-0.90864364928819175</v>
      </c>
      <c r="T80" s="1">
        <f t="shared" si="171"/>
        <v>0.24791350429615527</v>
      </c>
      <c r="U80" s="1">
        <v>1</v>
      </c>
      <c r="V80" s="1">
        <f t="shared" si="172"/>
        <v>0.20886372380229498</v>
      </c>
      <c r="W80" s="8">
        <f t="shared" si="173"/>
        <v>0.11603094909329863</v>
      </c>
      <c r="X80" s="1">
        <f t="shared" si="174"/>
        <v>-0.22526503125148234</v>
      </c>
      <c r="Y80" s="1">
        <f t="shared" si="175"/>
        <v>-4.7049693269624958E-2</v>
      </c>
      <c r="Z80" s="8">
        <f t="shared" si="176"/>
        <v>-2.6137715373641072E-2</v>
      </c>
      <c r="AA80" s="1">
        <f>2*(Q80-$C$6)</f>
        <v>-0.90864364928819175</v>
      </c>
      <c r="AB80" s="1" cm="1">
        <f t="array" ref="AB80">INDEX(H:H, 14 + INT((ROW()-14)/8)*8)</f>
        <v>-4.142218131167021</v>
      </c>
      <c r="AC80" s="1" cm="1">
        <f t="array" ref="AC80">INDEX(I:I, 14 + INT((ROW()-14)/8)*8)</f>
        <v>-2.8565031103295353</v>
      </c>
      <c r="AD80" s="1">
        <f t="shared" si="177"/>
        <v>0.16523966868173362</v>
      </c>
      <c r="AE80" s="1">
        <f t="shared" si="178"/>
        <v>0.10256776794580698</v>
      </c>
      <c r="AF80" s="1">
        <v>1</v>
      </c>
      <c r="AG80" s="1">
        <f t="shared" si="179"/>
        <v>1</v>
      </c>
      <c r="AH80" s="1">
        <f t="shared" si="180"/>
        <v>0</v>
      </c>
      <c r="AI80" s="1"/>
      <c r="AJ80" s="1"/>
      <c r="AK80" s="1">
        <v>1</v>
      </c>
      <c r="AL80" s="1">
        <f t="shared" si="181"/>
        <v>1</v>
      </c>
      <c r="AM80" s="8">
        <f t="shared" si="182"/>
        <v>0</v>
      </c>
      <c r="AN80" s="1">
        <f t="shared" si="183"/>
        <v>0.15418462206986436</v>
      </c>
      <c r="AO80" s="1">
        <f t="shared" si="184"/>
        <v>0.15418462206986436</v>
      </c>
      <c r="AP80" s="1">
        <f t="shared" si="185"/>
        <v>0</v>
      </c>
      <c r="AQ80" s="1">
        <f t="shared" si="186"/>
        <v>6.5999308555751743E-2</v>
      </c>
      <c r="AR80" s="1">
        <f t="shared" si="187"/>
        <v>6.5999308555751743E-2</v>
      </c>
      <c r="AS80" s="8">
        <f t="shared" si="188"/>
        <v>0</v>
      </c>
      <c r="AT80" s="1"/>
    </row>
    <row r="81" spans="1:4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3">
        <v>1</v>
      </c>
      <c r="K81" s="3">
        <v>1</v>
      </c>
      <c r="L81" s="1" cm="1">
        <f t="array" ref="L81">INDEX(B:B, 14 + INT((ROW()-14)/8)*8)*J81
+ INDEX(C:C, 14 + INT((ROW()-14)/8)*8)*K81
+ INDEX(A:A, 14 + INT((ROW()-14)/8)*8)</f>
        <v>-0.1151554388014544</v>
      </c>
      <c r="M81" s="1" cm="1">
        <f t="array" ref="M81">INDEX(E:E, 14 + INT((ROW()-14)/8)*8)*J81
+ INDEX(F:F, 14 + INT((ROW()-14)/8)*8)*K81
+ INDEX(D:D, 14 + INT((ROW()-14)/8)*8)</f>
        <v>-7.0888006194426598</v>
      </c>
      <c r="N81" s="1">
        <f t="shared" si="168"/>
        <v>0.47124291171839233</v>
      </c>
      <c r="O81" s="1">
        <f t="shared" si="169"/>
        <v>8.3370188707814407E-4</v>
      </c>
      <c r="P81" s="1" cm="1">
        <f t="array" ref="P81">INDEX(H:H, 14 + INT((ROW()-14)/8)*8)*N81
+ INDEX(I:I, 14 + INT((ROW()-14)/8)*8)*O81
+ INDEX(G:G, 14 + INT((ROW()-14)/8)*8)</f>
        <v>-0.57454696670899641</v>
      </c>
      <c r="Q81" s="1">
        <f t="shared" si="170"/>
        <v>0.3601882993879309</v>
      </c>
      <c r="R81" s="8">
        <f>($C$7-Q81)^2</f>
        <v>0.12973561101596975</v>
      </c>
      <c r="S81" s="1">
        <f>2*(Q81-$C$7)</f>
        <v>0.7203765987758618</v>
      </c>
      <c r="T81" s="1">
        <f t="shared" si="171"/>
        <v>0.23045268837196117</v>
      </c>
      <c r="U81" s="1">
        <v>1</v>
      </c>
      <c r="V81" s="1">
        <f t="shared" si="172"/>
        <v>0.47124291171839233</v>
      </c>
      <c r="W81" s="8">
        <f t="shared" si="173"/>
        <v>8.3370188707814407E-4</v>
      </c>
      <c r="X81" s="1">
        <f t="shared" si="174"/>
        <v>0.166012723828147</v>
      </c>
      <c r="Y81" s="1">
        <f t="shared" si="175"/>
        <v>7.8232319359077318E-2</v>
      </c>
      <c r="Z81" s="8">
        <f t="shared" si="176"/>
        <v>1.3840512113450892E-4</v>
      </c>
      <c r="AA81" s="1">
        <f>2*(Q81-$C$7)</f>
        <v>0.7203765987758618</v>
      </c>
      <c r="AB81" s="1" cm="1">
        <f t="array" ref="AB81">INDEX(H:H, 14 + INT((ROW()-14)/8)*8)</f>
        <v>-4.142218131167021</v>
      </c>
      <c r="AC81" s="1" cm="1">
        <f t="array" ref="AC81">INDEX(I:I, 14 + INT((ROW()-14)/8)*8)</f>
        <v>-2.8565031103295353</v>
      </c>
      <c r="AD81" s="1">
        <f t="shared" si="177"/>
        <v>0.24917302987356385</v>
      </c>
      <c r="AE81" s="1">
        <f t="shared" si="178"/>
        <v>8.330068282416265E-4</v>
      </c>
      <c r="AF81" s="1">
        <v>1</v>
      </c>
      <c r="AG81" s="1">
        <f t="shared" si="179"/>
        <v>1</v>
      </c>
      <c r="AH81" s="1">
        <f t="shared" si="180"/>
        <v>1</v>
      </c>
      <c r="AI81" s="1"/>
      <c r="AJ81" s="1"/>
      <c r="AK81" s="1">
        <v>1</v>
      </c>
      <c r="AL81" s="1">
        <f t="shared" si="181"/>
        <v>1</v>
      </c>
      <c r="AM81" s="8">
        <f t="shared" si="182"/>
        <v>1</v>
      </c>
      <c r="AN81" s="1">
        <f t="shared" si="183"/>
        <v>-0.17134655362781398</v>
      </c>
      <c r="AO81" s="1">
        <f t="shared" si="184"/>
        <v>-0.17134655362781398</v>
      </c>
      <c r="AP81" s="1">
        <f t="shared" si="185"/>
        <v>-0.17134655362781398</v>
      </c>
      <c r="AQ81" s="1">
        <f t="shared" si="186"/>
        <v>-3.9502505108098224E-4</v>
      </c>
      <c r="AR81" s="1">
        <f t="shared" si="187"/>
        <v>-3.9502505108098224E-4</v>
      </c>
      <c r="AS81" s="8">
        <f t="shared" si="188"/>
        <v>-3.9502505108098224E-4</v>
      </c>
      <c r="AT81" s="1"/>
    </row>
    <row r="82" spans="1:4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46">
        <f>SUM(R78:R81)</f>
        <v>0.4477987211459723</v>
      </c>
      <c r="S82" s="1"/>
      <c r="T82" s="1"/>
      <c r="U82" s="1"/>
      <c r="V82" s="1"/>
      <c r="W82" s="1"/>
      <c r="X82" s="1">
        <f>AVERAGE(X78:X81)</f>
        <v>-2.3213512351044428E-2</v>
      </c>
      <c r="Y82" s="1">
        <f>AVERAGE(Y78:Y81)</f>
        <v>7.5642792036763728E-3</v>
      </c>
      <c r="Z82" s="1">
        <f>AVERAGE(Z78:Z81)</f>
        <v>6.9520069340918769E-3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>
        <f>AVERAGE(AN78:AN81)</f>
        <v>-3.3448966727255974E-3</v>
      </c>
      <c r="AO82" s="1">
        <f>AVERAGE(AO78:AO81)</f>
        <v>-4.2904828894874056E-3</v>
      </c>
      <c r="AP82" s="1">
        <f xml:space="preserve"> AVERAGE(AP78:AP81)</f>
        <v>-4.1652567113371806E-2</v>
      </c>
      <c r="AQ82" s="1">
        <f>AVERAGE(AQ78:AQ81)</f>
        <v>2.0818340933978535E-2</v>
      </c>
      <c r="AR82" s="1">
        <f>AVERAGE(AR78:AR81)</f>
        <v>1.6401070876167691E-2</v>
      </c>
      <c r="AS82" s="1">
        <f>AVERAGE(AS78:AS81)</f>
        <v>6.6928028364042847E-3</v>
      </c>
      <c r="AT82" s="1"/>
    </row>
    <row r="83" spans="1:4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6" ht="15" thickBot="1" x14ac:dyDescent="0.35">
      <c r="A84" s="1" t="s">
        <v>38</v>
      </c>
      <c r="B84" s="1">
        <v>9</v>
      </c>
      <c r="C84" s="1"/>
      <c r="D84" s="1"/>
      <c r="E84" s="1"/>
      <c r="F84" s="1"/>
      <c r="G84" s="1"/>
      <c r="H84" s="1"/>
      <c r="I84" s="1"/>
      <c r="J84" s="30" t="s">
        <v>7</v>
      </c>
      <c r="K84" s="31"/>
      <c r="L84" s="30" t="s">
        <v>8</v>
      </c>
      <c r="M84" s="31"/>
      <c r="N84" s="30" t="s">
        <v>9</v>
      </c>
      <c r="O84" s="31"/>
      <c r="P84" s="1"/>
      <c r="Q84" s="9" t="s">
        <v>10</v>
      </c>
      <c r="R84" s="10" t="s">
        <v>11</v>
      </c>
      <c r="S84" s="1"/>
      <c r="T84" s="11"/>
      <c r="U84" s="23" t="s">
        <v>13</v>
      </c>
      <c r="V84" s="24"/>
      <c r="W84" s="26"/>
      <c r="X84" s="32" t="s">
        <v>12</v>
      </c>
      <c r="Y84" s="33"/>
      <c r="Z84" s="34"/>
      <c r="AA84" s="35"/>
      <c r="AB84" s="25"/>
      <c r="AC84" s="21"/>
      <c r="AD84" s="22"/>
      <c r="AE84" s="11"/>
      <c r="AF84" s="11"/>
      <c r="AG84" s="23" t="s">
        <v>44</v>
      </c>
      <c r="AH84" s="24"/>
      <c r="AI84" s="25"/>
      <c r="AJ84" s="17"/>
      <c r="AK84" s="17"/>
      <c r="AL84" s="23" t="s">
        <v>45</v>
      </c>
      <c r="AM84" s="24"/>
      <c r="AN84" s="26"/>
      <c r="AO84" s="27" t="s">
        <v>12</v>
      </c>
      <c r="AP84" s="28"/>
      <c r="AQ84" s="28"/>
      <c r="AR84" s="28"/>
      <c r="AS84" s="28"/>
      <c r="AT84" s="29"/>
    </row>
    <row r="85" spans="1:46" ht="15" thickBot="1" x14ac:dyDescent="0.35">
      <c r="A85" s="12" t="s">
        <v>14</v>
      </c>
      <c r="B85" s="12" t="s">
        <v>15</v>
      </c>
      <c r="C85" s="12" t="s">
        <v>16</v>
      </c>
      <c r="D85" s="12" t="s">
        <v>17</v>
      </c>
      <c r="E85" s="12" t="s">
        <v>18</v>
      </c>
      <c r="F85" s="12" t="s">
        <v>19</v>
      </c>
      <c r="G85" s="12" t="s">
        <v>20</v>
      </c>
      <c r="H85" s="12" t="s">
        <v>21</v>
      </c>
      <c r="I85" s="12" t="s">
        <v>22</v>
      </c>
      <c r="J85" s="12" t="s">
        <v>23</v>
      </c>
      <c r="K85" s="12" t="s">
        <v>24</v>
      </c>
      <c r="L85" s="12" t="s">
        <v>39</v>
      </c>
      <c r="M85" s="12" t="s">
        <v>40</v>
      </c>
      <c r="N85" s="12" t="s">
        <v>41</v>
      </c>
      <c r="O85" s="12" t="s">
        <v>42</v>
      </c>
      <c r="P85" s="12" t="s">
        <v>25</v>
      </c>
      <c r="Q85" s="12" t="s">
        <v>26</v>
      </c>
      <c r="R85" s="13" t="s">
        <v>27</v>
      </c>
      <c r="S85" s="12" t="s">
        <v>43</v>
      </c>
      <c r="T85" s="12" t="s">
        <v>31</v>
      </c>
      <c r="U85" s="12" t="s">
        <v>28</v>
      </c>
      <c r="V85" s="12" t="s">
        <v>29</v>
      </c>
      <c r="W85" s="13" t="s">
        <v>30</v>
      </c>
      <c r="X85" s="12" t="s">
        <v>28</v>
      </c>
      <c r="Y85" s="12" t="s">
        <v>29</v>
      </c>
      <c r="Z85" s="13" t="s">
        <v>30</v>
      </c>
      <c r="AA85" s="12" t="s">
        <v>50</v>
      </c>
      <c r="AB85" s="12" t="s">
        <v>48</v>
      </c>
      <c r="AC85" s="12" t="s">
        <v>49</v>
      </c>
      <c r="AD85" s="12" t="s">
        <v>46</v>
      </c>
      <c r="AE85" s="12" t="s">
        <v>47</v>
      </c>
      <c r="AF85" s="12" t="s">
        <v>32</v>
      </c>
      <c r="AG85" s="12" t="s">
        <v>33</v>
      </c>
      <c r="AH85" s="12" t="s">
        <v>34</v>
      </c>
      <c r="AI85" s="12"/>
      <c r="AJ85" s="12"/>
      <c r="AK85" s="12" t="s">
        <v>35</v>
      </c>
      <c r="AL85" s="12" t="s">
        <v>36</v>
      </c>
      <c r="AM85" s="13" t="s">
        <v>37</v>
      </c>
      <c r="AN85" s="12" t="s">
        <v>32</v>
      </c>
      <c r="AO85" s="12" t="s">
        <v>33</v>
      </c>
      <c r="AP85" s="12" t="s">
        <v>34</v>
      </c>
      <c r="AQ85" s="12" t="s">
        <v>35</v>
      </c>
      <c r="AR85" s="12" t="s">
        <v>36</v>
      </c>
      <c r="AS85" s="13" t="s">
        <v>37</v>
      </c>
      <c r="AT85" s="1"/>
    </row>
    <row r="86" spans="1:46" ht="15" thickBot="1" x14ac:dyDescent="0.35">
      <c r="A86" s="3" cm="1">
        <f t="array" ref="A86">INDEX(A:A, 14 + INT((ROW()-18)/8)*8)
 - $C$9 *
 INDEX(AN:AN, 18 + INT((ROW()-18)/8)*8)</f>
        <v>-5.6633885466863871</v>
      </c>
      <c r="B86" s="3" cm="1">
        <f t="array" ref="B86">INDEX(B:B, 14 + INT((ROW()-18)/8)*8)
 - $C$9 *
 INDEX(AO:AO, 18 + INT((ROW()-18)/8)*8)</f>
        <v>4.3697772082044182</v>
      </c>
      <c r="C86" s="3" cm="1">
        <f t="array" ref="C86">INDEX(C:C, 14 + INT((ROW()-18)/8)*8)
 - $C$9 *
 INDEX(AP:AP, 18 + INT((ROW()-18)/8)*8)</f>
        <v>1.4248956330584388</v>
      </c>
      <c r="D86" s="3" cm="1">
        <f t="array" ref="D86">INDEX(D:D, 14 + INT((ROW()-18)/8)*8)
 - $C$9 *
 INDEX(AQ:AQ, 18 + INT((ROW()-18)/8)*8)</f>
        <v>2.8070909435918368</v>
      </c>
      <c r="E86" s="3" cm="1">
        <f t="array" ref="E86">INDEX(E:E, 14 + INT((ROW()-18)/8)*8)
 - $C$9 *
 INDEX(AR:AR, 18 + INT((ROW()-18)/8)*8)</f>
        <v>-5.0237530963314638</v>
      </c>
      <c r="F86" s="3" cm="1">
        <f t="array" ref="F86">INDEX(F:F, 14 + INT((ROW()-18)/8)*8)
 - $C$9 *
 INDEX(AS:AS, 18 + INT((ROW()-18)/8)*8)</f>
        <v>-5.0916995399357843</v>
      </c>
      <c r="G86" s="3" cm="1">
        <f t="array" ref="G86">INDEX(G:G, 14 + INT((ROW()-18)/8)*8)
 - $C$9 *
 INDEX(X:X, 18 + INT((ROW()-18)/8)*8)</f>
        <v>1.4958930001836164</v>
      </c>
      <c r="H86" s="3" cm="1">
        <f t="array" ref="H86">INDEX(H:H, 14 + INT((ROW()-18)/8)*8)
 - $C$9 *
 INDEX(Y:Y, 18 + INT((ROW()-18)/8)*8)</f>
        <v>-4.1800395271854027</v>
      </c>
      <c r="I86" s="3" cm="1">
        <f t="array" ref="I86">INDEX(I:I, 14 + INT((ROW()-18)/8)*8)
 - $C$9 *
 INDEX(Z:Z, 18 + INT((ROW()-18)/8)*8)</f>
        <v>-2.8912631449999946</v>
      </c>
      <c r="J86" s="3">
        <v>0</v>
      </c>
      <c r="K86" s="3">
        <v>0</v>
      </c>
      <c r="L86" s="1" cm="1">
        <f t="array" ref="L86">INDEX(B:B, 14 + INT((ROW()-14)/8)*8)*J86
+ INDEX(C:C, 14 + INT((ROW()-14)/8)*8)*K86
+ INDEX(A:A, 14 + INT((ROW()-14)/8)*8)</f>
        <v>-5.6633885466863871</v>
      </c>
      <c r="M86" s="1" cm="1">
        <f t="array" ref="M86">INDEX(E:E, 14 + INT((ROW()-14)/8)*8)*J86
+ INDEX(F:F, 14 + INT((ROW()-14)/8)*8)*K86
+ INDEX(D:D, 14 + INT((ROW()-14)/8)*8)</f>
        <v>2.8070909435918368</v>
      </c>
      <c r="N86" s="1">
        <f>1/(1+EXP(-L86))</f>
        <v>3.4587318522752257E-3</v>
      </c>
      <c r="O86" s="1">
        <f>1/(1+EXP(-M86))</f>
        <v>0.9430578046911493</v>
      </c>
      <c r="P86" s="1" cm="1">
        <f t="array" ref="P86">INDEX(H:H, 14 + INT((ROW()-14)/8)*8)*N86
+ INDEX(I:I, 14 + INT((ROW()-14)/8)*8)*O86
+ INDEX(G:G, 14 + INT((ROW()-14)/8)*8)</f>
        <v>-1.2451929099809522</v>
      </c>
      <c r="Q86" s="1">
        <f>1/(1+EXP(-P86))</f>
        <v>0.2235333782271792</v>
      </c>
      <c r="R86" s="8">
        <f>($C$4-Q86)^2</f>
        <v>4.9967171181655154E-2</v>
      </c>
      <c r="S86" s="1">
        <f>2*(Q86-$C$4)</f>
        <v>0.44706675645435839</v>
      </c>
      <c r="T86" s="1">
        <f>Q86*(1-Q86)</f>
        <v>0.17356620704552403</v>
      </c>
      <c r="U86" s="1">
        <v>1</v>
      </c>
      <c r="V86" s="1">
        <f>N86</f>
        <v>3.4587318522752257E-3</v>
      </c>
      <c r="W86" s="8">
        <f>O86</f>
        <v>0.9430578046911493</v>
      </c>
      <c r="X86" s="1">
        <f>S86*T86*U86</f>
        <v>7.7595681213928042E-2</v>
      </c>
      <c r="Y86" s="1">
        <f>S86*T86*V86</f>
        <v>2.6838265421360728E-4</v>
      </c>
      <c r="Z86" s="8">
        <f>S86*T86*W86</f>
        <v>7.3177212779121231E-2</v>
      </c>
      <c r="AA86" s="1">
        <f>2*(Q86-$C$4)</f>
        <v>0.44706675645435839</v>
      </c>
      <c r="AB86" s="1" cm="1">
        <f t="array" ref="AB86">INDEX(H:H, 14 + INT((ROW()-14)/8)*8)</f>
        <v>-4.1800395271854027</v>
      </c>
      <c r="AC86" s="1" cm="1">
        <f t="array" ref="AC86">INDEX(I:I, 14 + INT((ROW()-14)/8)*8)</f>
        <v>-2.8912631449999946</v>
      </c>
      <c r="AD86" s="1">
        <f>N86*(1-N86)</f>
        <v>3.4467690262492828E-3</v>
      </c>
      <c r="AE86" s="1">
        <f xml:space="preserve"> O86*(1-O86)</f>
        <v>5.3699781702259398E-2</v>
      </c>
      <c r="AF86" s="1">
        <v>1</v>
      </c>
      <c r="AG86" s="1">
        <f>J86</f>
        <v>0</v>
      </c>
      <c r="AH86" s="1">
        <f>K86</f>
        <v>0</v>
      </c>
      <c r="AI86" s="1"/>
      <c r="AJ86" s="1"/>
      <c r="AK86" s="1">
        <v>1</v>
      </c>
      <c r="AL86" s="1">
        <f>J86</f>
        <v>0</v>
      </c>
      <c r="AM86" s="8">
        <f>K86</f>
        <v>0</v>
      </c>
      <c r="AN86" s="1">
        <f>S86*T86*AB86*AD86*AF86</f>
        <v>-1.1179699243390039E-3</v>
      </c>
      <c r="AO86" s="1">
        <f>S86*T86*AB86*AD86*AG86</f>
        <v>0</v>
      </c>
      <c r="AP86" s="1">
        <f>S86*T86*AB86*AD86*AH86</f>
        <v>0</v>
      </c>
      <c r="AQ86" s="1">
        <f>S86*T86*AC86*AE86*AK86</f>
        <v>-1.2047520963482199E-2</v>
      </c>
      <c r="AR86" s="1">
        <f>S86*T86*AC86*AE86*AL86</f>
        <v>0</v>
      </c>
      <c r="AS86" s="8">
        <f>S86*T86*AC86*AE86*AM86</f>
        <v>0</v>
      </c>
      <c r="AT86" s="1"/>
    </row>
    <row r="87" spans="1:4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3">
        <v>0</v>
      </c>
      <c r="K87" s="3">
        <v>1</v>
      </c>
      <c r="L87" s="1" cm="1">
        <f t="array" ref="L87">INDEX(B:B, 14 + INT((ROW()-14)/8)*8)*J87
+ INDEX(C:C, 14 + INT((ROW()-14)/8)*8)*K87
+ INDEX(A:A, 14 + INT((ROW()-14)/8)*8)</f>
        <v>-4.2384929136279483</v>
      </c>
      <c r="M87" s="1" cm="1">
        <f t="array" ref="M87">INDEX(E:E, 14 + INT((ROW()-14)/8)*8)*J87
+ INDEX(F:F, 14 + INT((ROW()-14)/8)*8)*K87
+ INDEX(D:D, 14 + INT((ROW()-14)/8)*8)</f>
        <v>-2.2846085963439475</v>
      </c>
      <c r="N87" s="1">
        <f t="shared" ref="N87:N89" si="189">1/(1+EXP(-L87))</f>
        <v>1.4224077902778243E-2</v>
      </c>
      <c r="O87" s="1">
        <f t="shared" ref="O87:O89" si="190">1/(1+EXP(-M87))</f>
        <v>9.2405717711484092E-2</v>
      </c>
      <c r="P87" s="1" cm="1">
        <f t="array" ref="P87">INDEX(H:H, 14 + INT((ROW()-14)/8)*8)*N87
+ INDEX(I:I, 14 + INT((ROW()-14)/8)*8)*O87
+ INDEX(G:G, 14 + INT((ROW()-14)/8)*8)</f>
        <v>1.1692665463057517</v>
      </c>
      <c r="Q87" s="1">
        <f t="shared" ref="Q87:Q89" si="191">1/(1+EXP(-P87))</f>
        <v>0.76301241493724659</v>
      </c>
      <c r="R87" s="8">
        <f>($C$5-Q87)^2</f>
        <v>5.6163115473875785E-2</v>
      </c>
      <c r="S87" s="1">
        <f>2*(Q87-$C$5)</f>
        <v>-0.47397517012550683</v>
      </c>
      <c r="T87" s="1">
        <f t="shared" ref="T87:T89" si="192">Q87*(1-Q87)</f>
        <v>0.18082446958887763</v>
      </c>
      <c r="U87" s="1">
        <v>1</v>
      </c>
      <c r="V87" s="1">
        <f t="shared" ref="V87:V89" si="193">N87</f>
        <v>1.4224077902778243E-2</v>
      </c>
      <c r="W87" s="8">
        <f t="shared" ref="W87:W89" si="194">O87</f>
        <v>9.2405717711484092E-2</v>
      </c>
      <c r="X87" s="1">
        <f t="shared" ref="X87:X89" si="195">S87*T87*U87</f>
        <v>-8.5706308736242812E-2</v>
      </c>
      <c r="Y87" s="1">
        <f t="shared" ref="Y87:Y89" si="196">S87*T87*V87</f>
        <v>-1.2190932122238811E-3</v>
      </c>
      <c r="Z87" s="8">
        <f t="shared" ref="Z87:Z89" si="197">S87*T87*W87</f>
        <v>-7.9197529711745561E-3</v>
      </c>
      <c r="AA87" s="1">
        <f>2*(Q87-$C$5)</f>
        <v>-0.47397517012550683</v>
      </c>
      <c r="AB87" s="1" cm="1">
        <f t="array" ref="AB87">INDEX(H:H, 14 + INT((ROW()-14)/8)*8)</f>
        <v>-4.1800395271854027</v>
      </c>
      <c r="AC87" s="1" cm="1">
        <f t="array" ref="AC87">INDEX(I:I, 14 + INT((ROW()-14)/8)*8)</f>
        <v>-2.8912631449999946</v>
      </c>
      <c r="AD87" s="1">
        <f t="shared" ref="AD87:AD89" si="198">N87*(1-N87)</f>
        <v>1.4021753510593938E-2</v>
      </c>
      <c r="AE87" s="1">
        <f t="shared" ref="AE87:AE89" si="199" xml:space="preserve"> O87*(1-O87)</f>
        <v>8.386690104570961E-2</v>
      </c>
      <c r="AF87" s="1">
        <v>1</v>
      </c>
      <c r="AG87" s="1">
        <f t="shared" ref="AG87:AG89" si="200">J87</f>
        <v>0</v>
      </c>
      <c r="AH87" s="1">
        <f t="shared" ref="AH87:AH89" si="201">K87</f>
        <v>1</v>
      </c>
      <c r="AI87" s="1"/>
      <c r="AJ87" s="1"/>
      <c r="AK87" s="1">
        <v>1</v>
      </c>
      <c r="AL87" s="1">
        <f t="shared" ref="AL87:AL89" si="202">J87</f>
        <v>0</v>
      </c>
      <c r="AM87" s="8">
        <f t="shared" ref="AM87:AM89" si="203">K87</f>
        <v>1</v>
      </c>
      <c r="AN87" s="1">
        <f t="shared" ref="AN87:AN89" si="204">S87*T87*AB87*AD87*AF87</f>
        <v>5.0233739358854657E-3</v>
      </c>
      <c r="AO87" s="1">
        <f t="shared" ref="AO87:AO89" si="205">S87*T87*AB87*AD87*AG87</f>
        <v>0</v>
      </c>
      <c r="AP87" s="1">
        <f t="shared" ref="AP87:AP89" si="206">S87*T87*AB87*AD87*AH87</f>
        <v>5.0233739358854657E-3</v>
      </c>
      <c r="AQ87" s="1">
        <f t="shared" ref="AQ87:AQ89" si="207">S87*T87*AC87*AE87*AK87</f>
        <v>2.0782175453194857E-2</v>
      </c>
      <c r="AR87" s="1">
        <f t="shared" ref="AR87:AR89" si="208">S87*T87*AC87*AE87*AL87</f>
        <v>0</v>
      </c>
      <c r="AS87" s="8">
        <f t="shared" ref="AS87:AS89" si="209">S87*T87*AC87*AE87*AM87</f>
        <v>2.0782175453194857E-2</v>
      </c>
      <c r="AT87" s="1"/>
    </row>
    <row r="88" spans="1:4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3">
        <v>1</v>
      </c>
      <c r="K88" s="3">
        <v>0</v>
      </c>
      <c r="L88" s="1" cm="1">
        <f t="array" ref="L88">INDEX(B:B, 14 + INT((ROW()-14)/8)*8)*J88
+ INDEX(C:C, 14 + INT((ROW()-14)/8)*8)*K88
+ INDEX(A:A, 14 + INT((ROW()-14)/8)*8)</f>
        <v>-1.293611338481969</v>
      </c>
      <c r="M88" s="1" cm="1">
        <f t="array" ref="M88">INDEX(E:E, 14 + INT((ROW()-14)/8)*8)*J88
+ INDEX(F:F, 14 + INT((ROW()-14)/8)*8)*K88
+ INDEX(D:D, 14 + INT((ROW()-14)/8)*8)</f>
        <v>-2.2166621527396271</v>
      </c>
      <c r="N88" s="1">
        <f t="shared" si="189"/>
        <v>0.2152421815790922</v>
      </c>
      <c r="O88" s="1">
        <f t="shared" si="190"/>
        <v>9.8264169004239316E-2</v>
      </c>
      <c r="P88" s="1" cm="1">
        <f t="array" ref="P88">INDEX(H:H, 14 + INT((ROW()-14)/8)*8)*N88
+ INDEX(I:I, 14 + INT((ROW()-14)/8)*8)*O88
+ INDEX(G:G, 14 + INT((ROW()-14)/8)*8)</f>
        <v>0.31206460294938521</v>
      </c>
      <c r="Q88" s="1">
        <f t="shared" si="191"/>
        <v>0.57738912713098822</v>
      </c>
      <c r="R88" s="8">
        <f>($C$6-Q88)^2</f>
        <v>0.17859994986710803</v>
      </c>
      <c r="S88" s="1">
        <f>2*(Q88-$C$6)</f>
        <v>-0.84522174573802356</v>
      </c>
      <c r="T88" s="1">
        <f t="shared" si="192"/>
        <v>0.24401092300190375</v>
      </c>
      <c r="U88" s="1">
        <v>1</v>
      </c>
      <c r="V88" s="1">
        <f t="shared" si="193"/>
        <v>0.2152421815790922</v>
      </c>
      <c r="W88" s="8">
        <f t="shared" si="194"/>
        <v>9.8264169004239316E-2</v>
      </c>
      <c r="X88" s="1">
        <f t="shared" si="195"/>
        <v>-0.20624333831881553</v>
      </c>
      <c r="Y88" s="1">
        <f t="shared" si="196"/>
        <v>-4.4392266075896636E-2</v>
      </c>
      <c r="Z88" s="8">
        <f t="shared" si="197"/>
        <v>-2.0266330252558595E-2</v>
      </c>
      <c r="AA88" s="1">
        <f>2*(Q88-$C$6)</f>
        <v>-0.84522174573802356</v>
      </c>
      <c r="AB88" s="1" cm="1">
        <f t="array" ref="AB88">INDEX(H:H, 14 + INT((ROW()-14)/8)*8)</f>
        <v>-4.1800395271854027</v>
      </c>
      <c r="AC88" s="1" cm="1">
        <f t="array" ref="AC88">INDEX(I:I, 14 + INT((ROW()-14)/8)*8)</f>
        <v>-2.8912631449999946</v>
      </c>
      <c r="AD88" s="1">
        <f t="shared" si="198"/>
        <v>0.1689129848481653</v>
      </c>
      <c r="AE88" s="1">
        <f t="shared" si="199"/>
        <v>8.8608322094145611E-2</v>
      </c>
      <c r="AF88" s="1">
        <v>1</v>
      </c>
      <c r="AG88" s="1">
        <f t="shared" si="200"/>
        <v>1</v>
      </c>
      <c r="AH88" s="1">
        <f t="shared" si="201"/>
        <v>0</v>
      </c>
      <c r="AI88" s="1"/>
      <c r="AJ88" s="1"/>
      <c r="AK88" s="1">
        <v>1</v>
      </c>
      <c r="AL88" s="1">
        <f t="shared" si="202"/>
        <v>1</v>
      </c>
      <c r="AM88" s="8">
        <f t="shared" si="203"/>
        <v>0</v>
      </c>
      <c r="AN88" s="1">
        <f t="shared" si="204"/>
        <v>0.14562078055600006</v>
      </c>
      <c r="AO88" s="1">
        <f t="shared" si="205"/>
        <v>0.14562078055600006</v>
      </c>
      <c r="AP88" s="1">
        <f t="shared" si="206"/>
        <v>0</v>
      </c>
      <c r="AQ88" s="1">
        <f t="shared" si="207"/>
        <v>5.2837475896344875E-2</v>
      </c>
      <c r="AR88" s="1">
        <f t="shared" si="208"/>
        <v>5.2837475896344875E-2</v>
      </c>
      <c r="AS88" s="8">
        <f t="shared" si="209"/>
        <v>0</v>
      </c>
      <c r="AT88" s="1"/>
    </row>
    <row r="89" spans="1:4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3">
        <v>1</v>
      </c>
      <c r="K89" s="3">
        <v>1</v>
      </c>
      <c r="L89" s="1" cm="1">
        <f t="array" ref="L89">INDEX(B:B, 14 + INT((ROW()-14)/8)*8)*J89
+ INDEX(C:C, 14 + INT((ROW()-14)/8)*8)*K89
+ INDEX(A:A, 14 + INT((ROW()-14)/8)*8)</f>
        <v>0.13128429457646984</v>
      </c>
      <c r="M89" s="1" cm="1">
        <f t="array" ref="M89">INDEX(E:E, 14 + INT((ROW()-14)/8)*8)*J89
+ INDEX(F:F, 14 + INT((ROW()-14)/8)*8)*K89
+ INDEX(D:D, 14 + INT((ROW()-14)/8)*8)</f>
        <v>-7.3083616926754118</v>
      </c>
      <c r="N89" s="1">
        <f t="shared" si="189"/>
        <v>0.53277401393743284</v>
      </c>
      <c r="O89" s="1">
        <f t="shared" si="190"/>
        <v>6.6946519411638025E-4</v>
      </c>
      <c r="P89" s="1" cm="1">
        <f t="array" ref="P89">INDEX(H:H, 14 + INT((ROW()-14)/8)*8)*N89
+ INDEX(I:I, 14 + INT((ROW()-14)/8)*8)*O89
+ INDEX(G:G, 14 + INT((ROW()-14)/8)*8)</f>
        <v>-0.73305903717468857</v>
      </c>
      <c r="Q89" s="1">
        <f t="shared" si="191"/>
        <v>0.32452380205706199</v>
      </c>
      <c r="R89" s="8">
        <f>($C$7-Q89)^2</f>
        <v>0.10531569810157115</v>
      </c>
      <c r="S89" s="1">
        <f>2*(Q89-$C$7)</f>
        <v>0.64904760411412399</v>
      </c>
      <c r="T89" s="1">
        <f t="shared" si="192"/>
        <v>0.21920810395549084</v>
      </c>
      <c r="U89" s="1">
        <v>1</v>
      </c>
      <c r="V89" s="1">
        <f t="shared" si="193"/>
        <v>0.53277401393743284</v>
      </c>
      <c r="W89" s="8">
        <f t="shared" si="194"/>
        <v>6.6946519411638025E-4</v>
      </c>
      <c r="X89" s="1">
        <f t="shared" si="195"/>
        <v>0.14227649467471115</v>
      </c>
      <c r="Y89" s="1">
        <f t="shared" si="196"/>
        <v>7.5801219156793651E-2</v>
      </c>
      <c r="Z89" s="8">
        <f t="shared" si="197"/>
        <v>9.5249161125603645E-5</v>
      </c>
      <c r="AA89" s="1">
        <f>2*(Q89-$C$7)</f>
        <v>0.64904760411412399</v>
      </c>
      <c r="AB89" s="1" cm="1">
        <f t="array" ref="AB89">INDEX(H:H, 14 + INT((ROW()-14)/8)*8)</f>
        <v>-4.1800395271854027</v>
      </c>
      <c r="AC89" s="1" cm="1">
        <f t="array" ref="AC89">INDEX(I:I, 14 + INT((ROW()-14)/8)*8)</f>
        <v>-2.8912631449999946</v>
      </c>
      <c r="AD89" s="1">
        <f t="shared" si="198"/>
        <v>0.24892586401042896</v>
      </c>
      <c r="AE89" s="1">
        <f t="shared" si="199"/>
        <v>6.6901701047024701E-4</v>
      </c>
      <c r="AF89" s="1">
        <v>1</v>
      </c>
      <c r="AG89" s="1">
        <f t="shared" si="200"/>
        <v>1</v>
      </c>
      <c r="AH89" s="1">
        <f t="shared" si="201"/>
        <v>1</v>
      </c>
      <c r="AI89" s="1"/>
      <c r="AJ89" s="1"/>
      <c r="AK89" s="1">
        <v>1</v>
      </c>
      <c r="AL89" s="1">
        <f t="shared" si="202"/>
        <v>1</v>
      </c>
      <c r="AM89" s="8">
        <f t="shared" si="203"/>
        <v>1</v>
      </c>
      <c r="AN89" s="1">
        <f t="shared" si="204"/>
        <v>-0.14804153125349195</v>
      </c>
      <c r="AO89" s="1">
        <f t="shared" si="205"/>
        <v>-0.14804153125349195</v>
      </c>
      <c r="AP89" s="1">
        <f t="shared" si="206"/>
        <v>-0.14804153125349195</v>
      </c>
      <c r="AQ89" s="1">
        <f t="shared" si="207"/>
        <v>-2.7520602487429084E-4</v>
      </c>
      <c r="AR89" s="1">
        <f t="shared" si="208"/>
        <v>-2.7520602487429084E-4</v>
      </c>
      <c r="AS89" s="8">
        <f t="shared" si="209"/>
        <v>-2.7520602487429084E-4</v>
      </c>
      <c r="AT89" s="1"/>
    </row>
    <row r="90" spans="1:4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46">
        <f>SUM(R86:R89)</f>
        <v>0.39004593462421011</v>
      </c>
      <c r="S90" s="1"/>
      <c r="T90" s="1"/>
      <c r="U90" s="1"/>
      <c r="V90" s="1"/>
      <c r="W90" s="1"/>
      <c r="X90" s="1">
        <f>AVERAGE(X86:X89)</f>
        <v>-1.801936779160479E-2</v>
      </c>
      <c r="Y90" s="1">
        <f>AVERAGE(Y86:Y89)</f>
        <v>7.6145606307216861E-3</v>
      </c>
      <c r="Z90" s="1">
        <f>AVERAGE(Z86:Z89)</f>
        <v>1.127159467912842E-2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>
        <f>AVERAGE(AN86:AN89)</f>
        <v>3.7116332851364064E-4</v>
      </c>
      <c r="AO90" s="1">
        <f>AVERAGE(AO86:AO89)</f>
        <v>-6.0518767437297422E-4</v>
      </c>
      <c r="AP90" s="1">
        <f xml:space="preserve"> AVERAGE(AP86:AP89)</f>
        <v>-3.5754539329401619E-2</v>
      </c>
      <c r="AQ90" s="1">
        <f>AVERAGE(AQ86:AQ89)</f>
        <v>1.5324231090295811E-2</v>
      </c>
      <c r="AR90" s="1">
        <f>AVERAGE(AR86:AR89)</f>
        <v>1.3140567467867646E-2</v>
      </c>
      <c r="AS90" s="1">
        <f>AVERAGE(AS86:AS89)</f>
        <v>5.1267423570801416E-3</v>
      </c>
      <c r="AT90" s="1"/>
    </row>
    <row r="91" spans="1:4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8"/>
      <c r="S91" s="1"/>
      <c r="T91" s="1"/>
      <c r="U91" s="1"/>
      <c r="V91" s="1"/>
      <c r="W91" s="8"/>
      <c r="X91" s="1"/>
      <c r="Y91" s="1"/>
      <c r="Z91" s="8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8"/>
      <c r="AM91" s="1"/>
      <c r="AN91" s="1"/>
      <c r="AO91" s="1"/>
      <c r="AP91" s="1"/>
      <c r="AQ91" s="1"/>
      <c r="AR91" s="8"/>
      <c r="AS91" s="1"/>
    </row>
    <row r="92" spans="1:46" ht="15" thickBot="1" x14ac:dyDescent="0.35">
      <c r="A92" s="1" t="s">
        <v>38</v>
      </c>
      <c r="B92" s="1">
        <v>10</v>
      </c>
      <c r="C92" s="1"/>
      <c r="D92" s="1"/>
      <c r="E92" s="1"/>
      <c r="F92" s="1"/>
      <c r="G92" s="1"/>
      <c r="H92" s="1"/>
      <c r="I92" s="1"/>
      <c r="J92" s="30" t="s">
        <v>7</v>
      </c>
      <c r="K92" s="31"/>
      <c r="L92" s="30" t="s">
        <v>8</v>
      </c>
      <c r="M92" s="31"/>
      <c r="N92" s="30" t="s">
        <v>9</v>
      </c>
      <c r="O92" s="31"/>
      <c r="P92" s="1"/>
      <c r="Q92" s="9" t="s">
        <v>10</v>
      </c>
      <c r="R92" s="10" t="s">
        <v>11</v>
      </c>
      <c r="S92" s="1"/>
      <c r="T92" s="11"/>
      <c r="U92" s="23" t="s">
        <v>13</v>
      </c>
      <c r="V92" s="24"/>
      <c r="W92" s="26"/>
      <c r="X92" s="32" t="s">
        <v>12</v>
      </c>
      <c r="Y92" s="33"/>
      <c r="Z92" s="34"/>
      <c r="AA92" s="35"/>
      <c r="AB92" s="25"/>
      <c r="AC92" s="21"/>
      <c r="AD92" s="22"/>
      <c r="AE92" s="11"/>
      <c r="AF92" s="11"/>
      <c r="AG92" s="23" t="s">
        <v>44</v>
      </c>
      <c r="AH92" s="24"/>
      <c r="AI92" s="25"/>
      <c r="AJ92" s="17"/>
      <c r="AK92" s="17"/>
      <c r="AL92" s="23" t="s">
        <v>45</v>
      </c>
      <c r="AM92" s="24"/>
      <c r="AN92" s="26"/>
      <c r="AO92" s="27" t="s">
        <v>12</v>
      </c>
      <c r="AP92" s="28"/>
      <c r="AQ92" s="28"/>
      <c r="AR92" s="28"/>
      <c r="AS92" s="28"/>
      <c r="AT92" s="29"/>
    </row>
    <row r="93" spans="1:46" ht="15" thickBot="1" x14ac:dyDescent="0.35">
      <c r="A93" s="12" t="s">
        <v>14</v>
      </c>
      <c r="B93" s="12" t="s">
        <v>15</v>
      </c>
      <c r="C93" s="12" t="s">
        <v>16</v>
      </c>
      <c r="D93" s="12" t="s">
        <v>17</v>
      </c>
      <c r="E93" s="12" t="s">
        <v>18</v>
      </c>
      <c r="F93" s="12" t="s">
        <v>19</v>
      </c>
      <c r="G93" s="12" t="s">
        <v>20</v>
      </c>
      <c r="H93" s="12" t="s">
        <v>21</v>
      </c>
      <c r="I93" s="12" t="s">
        <v>22</v>
      </c>
      <c r="J93" s="12" t="s">
        <v>23</v>
      </c>
      <c r="K93" s="12" t="s">
        <v>24</v>
      </c>
      <c r="L93" s="12" t="s">
        <v>39</v>
      </c>
      <c r="M93" s="12" t="s">
        <v>40</v>
      </c>
      <c r="N93" s="12" t="s">
        <v>41</v>
      </c>
      <c r="O93" s="12" t="s">
        <v>42</v>
      </c>
      <c r="P93" s="12" t="s">
        <v>25</v>
      </c>
      <c r="Q93" s="12" t="s">
        <v>26</v>
      </c>
      <c r="R93" s="13" t="s">
        <v>27</v>
      </c>
      <c r="S93" s="12" t="s">
        <v>43</v>
      </c>
      <c r="T93" s="12" t="s">
        <v>31</v>
      </c>
      <c r="U93" s="12" t="s">
        <v>28</v>
      </c>
      <c r="V93" s="12" t="s">
        <v>29</v>
      </c>
      <c r="W93" s="13" t="s">
        <v>30</v>
      </c>
      <c r="X93" s="12" t="s">
        <v>28</v>
      </c>
      <c r="Y93" s="12" t="s">
        <v>29</v>
      </c>
      <c r="Z93" s="13" t="s">
        <v>30</v>
      </c>
      <c r="AA93" s="12" t="s">
        <v>50</v>
      </c>
      <c r="AB93" s="12" t="s">
        <v>48</v>
      </c>
      <c r="AC93" s="12" t="s">
        <v>49</v>
      </c>
      <c r="AD93" s="12" t="s">
        <v>46</v>
      </c>
      <c r="AE93" s="12" t="s">
        <v>47</v>
      </c>
      <c r="AF93" s="12" t="s">
        <v>32</v>
      </c>
      <c r="AG93" s="12" t="s">
        <v>33</v>
      </c>
      <c r="AH93" s="12" t="s">
        <v>34</v>
      </c>
      <c r="AI93" s="12"/>
      <c r="AJ93" s="12"/>
      <c r="AK93" s="12" t="s">
        <v>35</v>
      </c>
      <c r="AL93" s="12" t="s">
        <v>36</v>
      </c>
      <c r="AM93" s="13" t="s">
        <v>37</v>
      </c>
      <c r="AN93" s="12" t="s">
        <v>32</v>
      </c>
      <c r="AO93" s="12" t="s">
        <v>33</v>
      </c>
      <c r="AP93" s="12" t="s">
        <v>34</v>
      </c>
      <c r="AQ93" s="12" t="s">
        <v>35</v>
      </c>
      <c r="AR93" s="12" t="s">
        <v>36</v>
      </c>
      <c r="AS93" s="13" t="s">
        <v>37</v>
      </c>
      <c r="AT93" s="1"/>
    </row>
    <row r="94" spans="1:46" ht="15" thickBot="1" x14ac:dyDescent="0.35">
      <c r="A94" s="3" cm="1">
        <f t="array" ref="A94">INDEX(A:A, 14 + INT((ROW()-18)/8)*8)
 - $C$9 *
 INDEX(AN:AN, 18 + INT((ROW()-18)/8)*8)</f>
        <v>-5.6652443633289558</v>
      </c>
      <c r="B94" s="3" cm="1">
        <f t="array" ref="B94">INDEX(B:B, 14 + INT((ROW()-18)/8)*8)
 - $C$9 *
 INDEX(AO:AO, 18 + INT((ROW()-18)/8)*8)</f>
        <v>4.3728031465762829</v>
      </c>
      <c r="C94" s="3" cm="1">
        <f t="array" ref="C94">INDEX(C:C, 14 + INT((ROW()-18)/8)*8)
 - $C$9 *
 INDEX(AP:AP, 18 + INT((ROW()-18)/8)*8)</f>
        <v>1.6036683297054468</v>
      </c>
      <c r="D94" s="3" cm="1">
        <f t="array" ref="D94">INDEX(D:D, 14 + INT((ROW()-18)/8)*8)
 - $C$9 *
 INDEX(AQ:AQ, 18 + INT((ROW()-18)/8)*8)</f>
        <v>2.7304697881403577</v>
      </c>
      <c r="E94" s="3" cm="1">
        <f t="array" ref="E94">INDEX(E:E, 14 + INT((ROW()-18)/8)*8)
 - $C$9 *
 INDEX(AR:AR, 18 + INT((ROW()-18)/8)*8)</f>
        <v>-5.0894559336708021</v>
      </c>
      <c r="F94" s="3" cm="1">
        <f t="array" ref="F94">INDEX(F:F, 14 + INT((ROW()-18)/8)*8)
 - $C$9 *
 INDEX(AS:AS, 18 + INT((ROW()-18)/8)*8)</f>
        <v>-5.1173332517211847</v>
      </c>
      <c r="G94" s="3" cm="1">
        <f t="array" ref="G94">INDEX(G:G, 14 + INT((ROW()-18)/8)*8)
 - $C$9 *
 INDEX(X:X, 18 + INT((ROW()-18)/8)*8)</f>
        <v>1.5859898391416403</v>
      </c>
      <c r="H94" s="3" cm="1">
        <f t="array" ref="H94">INDEX(H:H, 14 + INT((ROW()-18)/8)*8)
 - $C$9 *
 INDEX(Y:Y, 18 + INT((ROW()-18)/8)*8)</f>
        <v>-4.2181123303390109</v>
      </c>
      <c r="I94" s="3" cm="1">
        <f t="array" ref="I94">INDEX(I:I, 14 + INT((ROW()-18)/8)*8)
 - $C$9 *
 INDEX(Z:Z, 18 + INT((ROW()-18)/8)*8)</f>
        <v>-2.9476211183956367</v>
      </c>
      <c r="J94" s="3">
        <v>0</v>
      </c>
      <c r="K94" s="3">
        <v>0</v>
      </c>
      <c r="L94" s="1" cm="1">
        <f t="array" ref="L94">INDEX(B:B, 14 + INT((ROW()-14)/8)*8)*J94
+ INDEX(C:C, 14 + INT((ROW()-14)/8)*8)*K94
+ INDEX(A:A, 14 + INT((ROW()-14)/8)*8)</f>
        <v>-5.6652443633289558</v>
      </c>
      <c r="M94" s="1" cm="1">
        <f t="array" ref="M94">INDEX(E:E, 14 + INT((ROW()-14)/8)*8)*J94
+ INDEX(F:F, 14 + INT((ROW()-14)/8)*8)*K94
+ INDEX(D:D, 14 + INT((ROW()-14)/8)*8)</f>
        <v>2.7304697881403577</v>
      </c>
      <c r="N94" s="1">
        <f>1/(1+EXP(-L94))</f>
        <v>3.452341171732709E-3</v>
      </c>
      <c r="O94" s="1">
        <f>1/(1+EXP(-M94))</f>
        <v>0.9388008338718894</v>
      </c>
      <c r="P94" s="1" cm="1">
        <f t="array" ref="P94">INDEX(H:H, 14 + INT((ROW()-14)/8)*8)*N94
+ INDEX(I:I, 14 + INT((ROW()-14)/8)*8)*O94
+ INDEX(G:G, 14 + INT((ROW()-14)/8)*8)</f>
        <v>-1.1958016876115973</v>
      </c>
      <c r="Q94" s="1">
        <f>1/(1+EXP(-P94))</f>
        <v>0.23222291475506326</v>
      </c>
      <c r="R94" s="8">
        <f>($C$4-Q94)^2</f>
        <v>5.3927482137337376E-2</v>
      </c>
      <c r="S94" s="1">
        <f>2*(Q94-$C$4)</f>
        <v>0.46444582951012653</v>
      </c>
      <c r="T94" s="1">
        <f>Q94*(1-Q94)</f>
        <v>0.17829543261772587</v>
      </c>
      <c r="U94" s="1">
        <v>1</v>
      </c>
      <c r="V94" s="1">
        <f>N94</f>
        <v>3.452341171732709E-3</v>
      </c>
      <c r="W94" s="8">
        <f>O94</f>
        <v>0.9388008338718894</v>
      </c>
      <c r="X94" s="1">
        <f>S94*T94*U94</f>
        <v>8.280857010000657E-2</v>
      </c>
      <c r="Y94" s="1">
        <f>S94*T94*V94</f>
        <v>2.8588343592856686E-4</v>
      </c>
      <c r="Z94" s="8">
        <f>S94*T94*W94</f>
        <v>7.7740754661624972E-2</v>
      </c>
      <c r="AA94" s="1">
        <f>2*(Q94-$C$4)</f>
        <v>0.46444582951012653</v>
      </c>
      <c r="AB94" s="1" cm="1">
        <f t="array" ref="AB94">INDEX(H:H, 14 + INT((ROW()-14)/8)*8)</f>
        <v>-4.2181123303390109</v>
      </c>
      <c r="AC94" s="1" cm="1">
        <f t="array" ref="AC94">INDEX(I:I, 14 + INT((ROW()-14)/8)*8)</f>
        <v>-2.9476211183956367</v>
      </c>
      <c r="AD94" s="1">
        <f>N94*(1-N94)</f>
        <v>3.4404225121666683E-3</v>
      </c>
      <c r="AE94" s="1">
        <f xml:space="preserve"> O94*(1-O94)</f>
        <v>5.7453828193334527E-2</v>
      </c>
      <c r="AF94" s="1">
        <v>1</v>
      </c>
      <c r="AG94" s="1">
        <f>J94</f>
        <v>0</v>
      </c>
      <c r="AH94" s="1">
        <f>K94</f>
        <v>0</v>
      </c>
      <c r="AI94" s="1"/>
      <c r="AJ94" s="1"/>
      <c r="AK94" s="1">
        <v>1</v>
      </c>
      <c r="AL94" s="1">
        <f>J94</f>
        <v>0</v>
      </c>
      <c r="AM94" s="8">
        <f>K94</f>
        <v>0</v>
      </c>
      <c r="AN94" s="1">
        <f>S94*T94*AB94*AD94*AF94</f>
        <v>-1.2017253077988793E-3</v>
      </c>
      <c r="AO94" s="1">
        <f>S94*T94*AB94*AD94*AG94</f>
        <v>0</v>
      </c>
      <c r="AP94" s="1">
        <f>S94*T94*AB94*AD94*AH94</f>
        <v>0</v>
      </c>
      <c r="AQ94" s="1">
        <f>S94*T94*AC94*AE94*AK94</f>
        <v>-1.402380667829249E-2</v>
      </c>
      <c r="AR94" s="1">
        <f>S94*T94*AC94*AE94*AL94</f>
        <v>0</v>
      </c>
      <c r="AS94" s="8">
        <f>S94*T94*AC94*AE94*AM94</f>
        <v>0</v>
      </c>
      <c r="AT94" s="1"/>
    </row>
    <row r="95" spans="1:4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3">
        <v>0</v>
      </c>
      <c r="K95" s="3">
        <v>1</v>
      </c>
      <c r="L95" s="1" cm="1">
        <f t="array" ref="L95">INDEX(B:B, 14 + INT((ROW()-14)/8)*8)*J95
+ INDEX(C:C, 14 + INT((ROW()-14)/8)*8)*K95
+ INDEX(A:A, 14 + INT((ROW()-14)/8)*8)</f>
        <v>-4.0615760336235089</v>
      </c>
      <c r="M95" s="1" cm="1">
        <f t="array" ref="M95">INDEX(E:E, 14 + INT((ROW()-14)/8)*8)*J95
+ INDEX(F:F, 14 + INT((ROW()-14)/8)*8)*K95
+ INDEX(D:D, 14 + INT((ROW()-14)/8)*8)</f>
        <v>-2.386863463580827</v>
      </c>
      <c r="N95" s="1">
        <f t="shared" ref="N95:N97" si="210">1/(1+EXP(-L95))</f>
        <v>1.6930284577820108E-2</v>
      </c>
      <c r="O95" s="1">
        <f t="shared" ref="O95:O97" si="211">1/(1+EXP(-M95))</f>
        <v>8.4179923823003516E-2</v>
      </c>
      <c r="P95" s="1" cm="1">
        <f t="array" ref="P95">INDEX(H:H, 14 + INT((ROW()-14)/8)*8)*N95
+ INDEX(I:I, 14 + INT((ROW()-14)/8)*8)*O95
+ INDEX(G:G, 14 + INT((ROW()-14)/8)*8)</f>
        <v>1.2664454758021677</v>
      </c>
      <c r="Q95" s="1">
        <f t="shared" ref="Q95:Q97" si="212">1/(1+EXP(-P95))</f>
        <v>0.78013366481843849</v>
      </c>
      <c r="R95" s="8">
        <f>($C$5-Q95)^2</f>
        <v>4.834120534617075E-2</v>
      </c>
      <c r="S95" s="1">
        <f>2*(Q95-$C$5)</f>
        <v>-0.43973267036312302</v>
      </c>
      <c r="T95" s="1">
        <f t="shared" ref="T95:T97" si="213">Q95*(1-Q95)</f>
        <v>0.17152512983539075</v>
      </c>
      <c r="U95" s="1">
        <v>1</v>
      </c>
      <c r="V95" s="1">
        <f t="shared" ref="V95:V97" si="214">N95</f>
        <v>1.6930284577820108E-2</v>
      </c>
      <c r="W95" s="8">
        <f t="shared" ref="W95:W97" si="215">O95</f>
        <v>8.4179923823003516E-2</v>
      </c>
      <c r="X95" s="1">
        <f t="shared" ref="X95:X97" si="216">S95*T95*U95</f>
        <v>-7.5425203376897759E-2</v>
      </c>
      <c r="Y95" s="1">
        <f t="shared" ref="Y95:Y97" si="217">S95*T95*V95</f>
        <v>-1.2769701575108374E-3</v>
      </c>
      <c r="Z95" s="8">
        <f t="shared" ref="Z95:Z97" si="218">S95*T95*W95</f>
        <v>-6.349287874601801E-3</v>
      </c>
      <c r="AA95" s="1">
        <f>2*(Q95-$C$5)</f>
        <v>-0.43973267036312302</v>
      </c>
      <c r="AB95" s="1" cm="1">
        <f t="array" ref="AB95">INDEX(H:H, 14 + INT((ROW()-14)/8)*8)</f>
        <v>-4.2181123303390109</v>
      </c>
      <c r="AC95" s="1" cm="1">
        <f t="array" ref="AC95">INDEX(I:I, 14 + INT((ROW()-14)/8)*8)</f>
        <v>-2.9476211183956367</v>
      </c>
      <c r="AD95" s="1">
        <f t="shared" ref="AD95:AD97" si="219">N95*(1-N95)</f>
        <v>1.6643650041934136E-2</v>
      </c>
      <c r="AE95" s="1">
        <f t="shared" ref="AE95:AE97" si="220" xml:space="preserve"> O95*(1-O95)</f>
        <v>7.7093664248156835E-2</v>
      </c>
      <c r="AF95" s="1">
        <v>1</v>
      </c>
      <c r="AG95" s="1">
        <f t="shared" ref="AG95:AG97" si="221">J95</f>
        <v>0</v>
      </c>
      <c r="AH95" s="1">
        <f t="shared" ref="AH95:AH97" si="222">K95</f>
        <v>1</v>
      </c>
      <c r="AI95" s="1"/>
      <c r="AJ95" s="1"/>
      <c r="AK95" s="1">
        <v>1</v>
      </c>
      <c r="AL95" s="1">
        <f t="shared" ref="AL95:AL97" si="223">J95</f>
        <v>0</v>
      </c>
      <c r="AM95" s="8">
        <f t="shared" ref="AM95:AM97" si="224">K95</f>
        <v>1</v>
      </c>
      <c r="AN95" s="1">
        <f t="shared" ref="AN95:AN97" si="225">S95*T95*AB95*AD95*AF95</f>
        <v>5.295210221633294E-3</v>
      </c>
      <c r="AO95" s="1">
        <f t="shared" ref="AO95:AO97" si="226">S95*T95*AB95*AD95*AG95</f>
        <v>0</v>
      </c>
      <c r="AP95" s="1">
        <f t="shared" ref="AP95:AP97" si="227">S95*T95*AB95*AD95*AH95</f>
        <v>5.295210221633294E-3</v>
      </c>
      <c r="AQ95" s="1">
        <f t="shared" ref="AQ95:AQ97" si="228">S95*T95*AC95*AE95*AK95</f>
        <v>1.7139842916340138E-2</v>
      </c>
      <c r="AR95" s="1">
        <f t="shared" ref="AR95:AR97" si="229">S95*T95*AC95*AE95*AL95</f>
        <v>0</v>
      </c>
      <c r="AS95" s="8">
        <f t="shared" ref="AS95:AS97" si="230">S95*T95*AC95*AE95*AM95</f>
        <v>1.7139842916340138E-2</v>
      </c>
      <c r="AT95" s="1"/>
    </row>
    <row r="96" spans="1:4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3">
        <v>1</v>
      </c>
      <c r="K96" s="3">
        <v>0</v>
      </c>
      <c r="L96" s="1" cm="1">
        <f t="array" ref="L96">INDEX(B:B, 14 + INT((ROW()-14)/8)*8)*J96
+ INDEX(C:C, 14 + INT((ROW()-14)/8)*8)*K96
+ INDEX(A:A, 14 + INT((ROW()-14)/8)*8)</f>
        <v>-1.2924412167526729</v>
      </c>
      <c r="M96" s="1" cm="1">
        <f t="array" ref="M96">INDEX(E:E, 14 + INT((ROW()-14)/8)*8)*J96
+ INDEX(F:F, 14 + INT((ROW()-14)/8)*8)*K96
+ INDEX(D:D, 14 + INT((ROW()-14)/8)*8)</f>
        <v>-2.3589861455304444</v>
      </c>
      <c r="N96" s="1">
        <f t="shared" si="210"/>
        <v>0.21543989618923159</v>
      </c>
      <c r="O96" s="1">
        <f t="shared" si="211"/>
        <v>8.6354151146470742E-2</v>
      </c>
      <c r="P96" s="1" cm="1">
        <f t="array" ref="P96">INDEX(H:H, 14 + INT((ROW()-14)/8)*8)*N96
+ INDEX(I:I, 14 + INT((ROW()-14)/8)*8)*O96
+ INDEX(G:G, 14 + INT((ROW()-14)/8)*8)</f>
        <v>0.4227008369984202</v>
      </c>
      <c r="Q96" s="1">
        <f t="shared" si="212"/>
        <v>0.60412935546328572</v>
      </c>
      <c r="R96" s="8">
        <f>($C$6-Q96)^2</f>
        <v>0.15671356720591359</v>
      </c>
      <c r="S96" s="1">
        <f>2*(Q96-$C$6)</f>
        <v>-0.79174128907342856</v>
      </c>
      <c r="T96" s="1">
        <f t="shared" si="213"/>
        <v>0.23915707733080069</v>
      </c>
      <c r="U96" s="1">
        <v>1</v>
      </c>
      <c r="V96" s="1">
        <f t="shared" si="214"/>
        <v>0.21543989618923159</v>
      </c>
      <c r="W96" s="8">
        <f t="shared" si="215"/>
        <v>8.6354151146470742E-2</v>
      </c>
      <c r="X96" s="1">
        <f t="shared" si="216"/>
        <v>-0.18935053269692179</v>
      </c>
      <c r="Y96" s="1">
        <f t="shared" si="217"/>
        <v>-4.0793659107600536E-2</v>
      </c>
      <c r="Z96" s="8">
        <f t="shared" si="218"/>
        <v>-1.6351204520174734E-2</v>
      </c>
      <c r="AA96" s="1">
        <f>2*(Q96-$C$6)</f>
        <v>-0.79174128907342856</v>
      </c>
      <c r="AB96" s="1" cm="1">
        <f t="array" ref="AB96">INDEX(H:H, 14 + INT((ROW()-14)/8)*8)</f>
        <v>-4.2181123303390109</v>
      </c>
      <c r="AC96" s="1" cm="1">
        <f t="array" ref="AC96">INDEX(I:I, 14 + INT((ROW()-14)/8)*8)</f>
        <v>-2.9476211183956367</v>
      </c>
      <c r="AD96" s="1">
        <f t="shared" si="219"/>
        <v>0.16902554731920469</v>
      </c>
      <c r="AE96" s="1">
        <f t="shared" si="220"/>
        <v>7.8897111726243224E-2</v>
      </c>
      <c r="AF96" s="1">
        <v>1</v>
      </c>
      <c r="AG96" s="1">
        <f t="shared" si="221"/>
        <v>1</v>
      </c>
      <c r="AH96" s="1">
        <f t="shared" si="222"/>
        <v>0</v>
      </c>
      <c r="AI96" s="1"/>
      <c r="AJ96" s="1"/>
      <c r="AK96" s="1">
        <v>1</v>
      </c>
      <c r="AL96" s="1">
        <f t="shared" si="223"/>
        <v>1</v>
      </c>
      <c r="AM96" s="8">
        <f t="shared" si="224"/>
        <v>0</v>
      </c>
      <c r="AN96" s="1">
        <f t="shared" si="225"/>
        <v>0.13500101171681089</v>
      </c>
      <c r="AO96" s="1">
        <f t="shared" si="226"/>
        <v>0.13500101171681089</v>
      </c>
      <c r="AP96" s="1">
        <f t="shared" si="227"/>
        <v>0</v>
      </c>
      <c r="AQ96" s="1">
        <f t="shared" si="228"/>
        <v>4.4035131281986925E-2</v>
      </c>
      <c r="AR96" s="1">
        <f t="shared" si="229"/>
        <v>4.4035131281986925E-2</v>
      </c>
      <c r="AS96" s="8">
        <f t="shared" si="230"/>
        <v>0</v>
      </c>
      <c r="AT96" s="1"/>
    </row>
    <row r="97" spans="1:4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3">
        <v>1</v>
      </c>
      <c r="K97" s="3">
        <v>1</v>
      </c>
      <c r="L97" s="1" cm="1">
        <f t="array" ref="L97">INDEX(B:B, 14 + INT((ROW()-14)/8)*8)*J97
+ INDEX(C:C, 14 + INT((ROW()-14)/8)*8)*K97
+ INDEX(A:A, 14 + INT((ROW()-14)/8)*8)</f>
        <v>0.31122711295277394</v>
      </c>
      <c r="M97" s="1" cm="1">
        <f t="array" ref="M97">INDEX(E:E, 14 + INT((ROW()-14)/8)*8)*J97
+ INDEX(F:F, 14 + INT((ROW()-14)/8)*8)*K97
+ INDEX(D:D, 14 + INT((ROW()-14)/8)*8)</f>
        <v>-7.4763193972516291</v>
      </c>
      <c r="N97" s="1">
        <f t="shared" si="210"/>
        <v>0.5771847571901042</v>
      </c>
      <c r="O97" s="1">
        <f t="shared" si="211"/>
        <v>5.6601749236939291E-4</v>
      </c>
      <c r="P97" s="1" cm="1">
        <f t="array" ref="P97">INDEX(H:H, 14 + INT((ROW()-14)/8)*8)*N97
+ INDEX(I:I, 14 + INT((ROW()-14)/8)*8)*O97
+ INDEX(G:G, 14 + INT((ROW()-14)/8)*8)</f>
        <v>-0.85030870715955587</v>
      </c>
      <c r="Q97" s="1">
        <f t="shared" si="212"/>
        <v>0.29936810316407159</v>
      </c>
      <c r="R97" s="8">
        <f>($C$7-Q97)^2</f>
        <v>8.9621261192054213E-2</v>
      </c>
      <c r="S97" s="1">
        <f>2*(Q97-$C$7)</f>
        <v>0.59873620632814317</v>
      </c>
      <c r="T97" s="1">
        <f t="shared" si="213"/>
        <v>0.20974684197201737</v>
      </c>
      <c r="U97" s="1">
        <v>1</v>
      </c>
      <c r="V97" s="1">
        <f t="shared" si="214"/>
        <v>0.5771847571901042</v>
      </c>
      <c r="W97" s="8">
        <f t="shared" si="215"/>
        <v>5.6601749236939291E-4</v>
      </c>
      <c r="X97" s="1">
        <f t="shared" si="216"/>
        <v>0.12558302845163424</v>
      </c>
      <c r="Y97" s="1">
        <f t="shared" si="217"/>
        <v>7.2484609784054452E-2</v>
      </c>
      <c r="Z97" s="8">
        <f t="shared" si="218"/>
        <v>7.1082190848348133E-5</v>
      </c>
      <c r="AA97" s="1">
        <f>2*(Q97-$C$7)</f>
        <v>0.59873620632814317</v>
      </c>
      <c r="AB97" s="1" cm="1">
        <f t="array" ref="AB97">INDEX(H:H, 14 + INT((ROW()-14)/8)*8)</f>
        <v>-4.2181123303390109</v>
      </c>
      <c r="AC97" s="1" cm="1">
        <f t="array" ref="AC97">INDEX(I:I, 14 + INT((ROW()-14)/8)*8)</f>
        <v>-2.9476211183956367</v>
      </c>
      <c r="AD97" s="1">
        <f t="shared" si="219"/>
        <v>0.24404251325750465</v>
      </c>
      <c r="AE97" s="1">
        <f t="shared" si="220"/>
        <v>5.6569711656772475E-4</v>
      </c>
      <c r="AF97" s="1">
        <v>1</v>
      </c>
      <c r="AG97" s="1">
        <f t="shared" si="221"/>
        <v>1</v>
      </c>
      <c r="AH97" s="1">
        <f t="shared" si="222"/>
        <v>1</v>
      </c>
      <c r="AI97" s="1"/>
      <c r="AJ97" s="1"/>
      <c r="AK97" s="1">
        <v>1</v>
      </c>
      <c r="AL97" s="1">
        <f t="shared" si="223"/>
        <v>1</v>
      </c>
      <c r="AM97" s="8">
        <f t="shared" si="224"/>
        <v>1</v>
      </c>
      <c r="AN97" s="1">
        <f t="shared" si="225"/>
        <v>-0.12927501053747248</v>
      </c>
      <c r="AO97" s="1">
        <f t="shared" si="226"/>
        <v>-0.12927501053747248</v>
      </c>
      <c r="AP97" s="1">
        <f t="shared" si="227"/>
        <v>-0.12927501053747248</v>
      </c>
      <c r="AQ97" s="1">
        <f t="shared" si="228"/>
        <v>-2.094047729957022E-4</v>
      </c>
      <c r="AR97" s="1">
        <f t="shared" si="229"/>
        <v>-2.094047729957022E-4</v>
      </c>
      <c r="AS97" s="8">
        <f t="shared" si="230"/>
        <v>-2.094047729957022E-4</v>
      </c>
      <c r="AT97" s="1"/>
    </row>
    <row r="98" spans="1:4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46">
        <f>SUM(R94:R97)</f>
        <v>0.34860351588147592</v>
      </c>
      <c r="S98" s="1"/>
      <c r="T98" s="1"/>
      <c r="U98" s="1"/>
      <c r="V98" s="1"/>
      <c r="W98" s="1"/>
      <c r="X98" s="1">
        <f>AVERAGE(X94:X97)</f>
        <v>-1.4096034380544679E-2</v>
      </c>
      <c r="Y98" s="1">
        <f>AVERAGE(Y94:Y97)</f>
        <v>7.674965988717912E-3</v>
      </c>
      <c r="Z98" s="1">
        <f>AVERAGE(Z94:Z97)</f>
        <v>1.3777836114424197E-2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>
        <f>AVERAGE(AN94:AN97)</f>
        <v>2.4548715232932047E-3</v>
      </c>
      <c r="AO98" s="1">
        <f>AVERAGE(AO94:AO97)</f>
        <v>1.4315002948346034E-3</v>
      </c>
      <c r="AP98" s="1">
        <f xml:space="preserve"> AVERAGE(AP94:AP97)</f>
        <v>-3.0994950078959797E-2</v>
      </c>
      <c r="AQ98" s="1">
        <f>AVERAGE(AQ94:AQ97)</f>
        <v>1.1735440686759717E-2</v>
      </c>
      <c r="AR98" s="1">
        <f>AVERAGE(AR94:AR97)</f>
        <v>1.0956431627247805E-2</v>
      </c>
      <c r="AS98" s="1">
        <f>AVERAGE(AS94:AS97)</f>
        <v>4.232609535836109E-3</v>
      </c>
      <c r="AT98" s="1"/>
    </row>
    <row r="99" spans="1:4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6" ht="15" thickBot="1" x14ac:dyDescent="0.35">
      <c r="A100" s="1" t="s">
        <v>38</v>
      </c>
      <c r="B100" s="1">
        <v>11</v>
      </c>
      <c r="C100" s="1"/>
      <c r="D100" s="1"/>
      <c r="E100" s="1"/>
      <c r="F100" s="1"/>
      <c r="G100" s="1"/>
      <c r="H100" s="1"/>
      <c r="I100" s="1"/>
      <c r="J100" s="30" t="s">
        <v>7</v>
      </c>
      <c r="K100" s="31"/>
      <c r="L100" s="30" t="s">
        <v>8</v>
      </c>
      <c r="M100" s="31"/>
      <c r="N100" s="30" t="s">
        <v>9</v>
      </c>
      <c r="O100" s="31"/>
      <c r="P100" s="1"/>
      <c r="Q100" s="9" t="s">
        <v>10</v>
      </c>
      <c r="R100" s="10" t="s">
        <v>11</v>
      </c>
      <c r="S100" s="1"/>
      <c r="T100" s="11"/>
      <c r="U100" s="23" t="s">
        <v>13</v>
      </c>
      <c r="V100" s="24"/>
      <c r="W100" s="26"/>
      <c r="X100" s="32" t="s">
        <v>12</v>
      </c>
      <c r="Y100" s="33"/>
      <c r="Z100" s="34"/>
      <c r="AA100" s="35"/>
      <c r="AB100" s="25"/>
      <c r="AC100" s="21"/>
      <c r="AD100" s="22"/>
      <c r="AE100" s="11"/>
      <c r="AF100" s="11"/>
      <c r="AG100" s="23" t="s">
        <v>44</v>
      </c>
      <c r="AH100" s="24"/>
      <c r="AI100" s="25"/>
      <c r="AJ100" s="17"/>
      <c r="AK100" s="17"/>
      <c r="AL100" s="23" t="s">
        <v>45</v>
      </c>
      <c r="AM100" s="24"/>
      <c r="AN100" s="26"/>
      <c r="AO100" s="27" t="s">
        <v>12</v>
      </c>
      <c r="AP100" s="28"/>
      <c r="AQ100" s="28"/>
      <c r="AR100" s="28"/>
      <c r="AS100" s="28"/>
      <c r="AT100" s="29"/>
    </row>
    <row r="101" spans="1:46" ht="15" thickBot="1" x14ac:dyDescent="0.35">
      <c r="A101" s="12" t="s">
        <v>14</v>
      </c>
      <c r="B101" s="12" t="s">
        <v>15</v>
      </c>
      <c r="C101" s="12" t="s">
        <v>16</v>
      </c>
      <c r="D101" s="12" t="s">
        <v>17</v>
      </c>
      <c r="E101" s="12" t="s">
        <v>18</v>
      </c>
      <c r="F101" s="12" t="s">
        <v>19</v>
      </c>
      <c r="G101" s="12" t="s">
        <v>20</v>
      </c>
      <c r="H101" s="12" t="s">
        <v>21</v>
      </c>
      <c r="I101" s="12" t="s">
        <v>22</v>
      </c>
      <c r="J101" s="12" t="s">
        <v>23</v>
      </c>
      <c r="K101" s="12" t="s">
        <v>24</v>
      </c>
      <c r="L101" s="12" t="s">
        <v>39</v>
      </c>
      <c r="M101" s="12" t="s">
        <v>40</v>
      </c>
      <c r="N101" s="12" t="s">
        <v>41</v>
      </c>
      <c r="O101" s="12" t="s">
        <v>42</v>
      </c>
      <c r="P101" s="12" t="s">
        <v>25</v>
      </c>
      <c r="Q101" s="12" t="s">
        <v>26</v>
      </c>
      <c r="R101" s="13" t="s">
        <v>27</v>
      </c>
      <c r="S101" s="12" t="s">
        <v>43</v>
      </c>
      <c r="T101" s="12" t="s">
        <v>31</v>
      </c>
      <c r="U101" s="12" t="s">
        <v>28</v>
      </c>
      <c r="V101" s="12" t="s">
        <v>29</v>
      </c>
      <c r="W101" s="13" t="s">
        <v>30</v>
      </c>
      <c r="X101" s="12" t="s">
        <v>28</v>
      </c>
      <c r="Y101" s="12" t="s">
        <v>29</v>
      </c>
      <c r="Z101" s="13" t="s">
        <v>30</v>
      </c>
      <c r="AA101" s="12" t="s">
        <v>50</v>
      </c>
      <c r="AB101" s="12" t="s">
        <v>48</v>
      </c>
      <c r="AC101" s="12" t="s">
        <v>49</v>
      </c>
      <c r="AD101" s="12" t="s">
        <v>46</v>
      </c>
      <c r="AE101" s="12" t="s">
        <v>47</v>
      </c>
      <c r="AF101" s="12" t="s">
        <v>32</v>
      </c>
      <c r="AG101" s="12" t="s">
        <v>33</v>
      </c>
      <c r="AH101" s="12" t="s">
        <v>34</v>
      </c>
      <c r="AI101" s="12"/>
      <c r="AJ101" s="12"/>
      <c r="AK101" s="12" t="s">
        <v>35</v>
      </c>
      <c r="AL101" s="12" t="s">
        <v>36</v>
      </c>
      <c r="AM101" s="13" t="s">
        <v>37</v>
      </c>
      <c r="AN101" s="12" t="s">
        <v>32</v>
      </c>
      <c r="AO101" s="12" t="s">
        <v>33</v>
      </c>
      <c r="AP101" s="12" t="s">
        <v>34</v>
      </c>
      <c r="AQ101" s="12" t="s">
        <v>35</v>
      </c>
      <c r="AR101" s="12" t="s">
        <v>36</v>
      </c>
      <c r="AS101" s="13" t="s">
        <v>37</v>
      </c>
      <c r="AT101" s="1"/>
    </row>
    <row r="102" spans="1:46" ht="15" thickBot="1" x14ac:dyDescent="0.35">
      <c r="A102" s="3" cm="1">
        <f t="array" ref="A102">INDEX(A:A, 14 + INT((ROW()-18)/8)*8)
 - $C$9 *
 INDEX(AN:AN, 18 + INT((ROW()-18)/8)*8)</f>
        <v>-5.6775187209454216</v>
      </c>
      <c r="B102" s="3" cm="1">
        <f t="array" ref="B102">INDEX(B:B, 14 + INT((ROW()-18)/8)*8)
 - $C$9 *
 INDEX(AO:AO, 18 + INT((ROW()-18)/8)*8)</f>
        <v>4.3656456451021102</v>
      </c>
      <c r="C102" s="3" cm="1">
        <f t="array" ref="C102">INDEX(C:C, 14 + INT((ROW()-18)/8)*8)
 - $C$9 *
 INDEX(AP:AP, 18 + INT((ROW()-18)/8)*8)</f>
        <v>1.7586430801002457</v>
      </c>
      <c r="D102" s="3" cm="1">
        <f t="array" ref="D102">INDEX(D:D, 14 + INT((ROW()-18)/8)*8)
 - $C$9 *
 INDEX(AQ:AQ, 18 + INT((ROW()-18)/8)*8)</f>
        <v>2.6717925847065591</v>
      </c>
      <c r="E102" s="3" cm="1">
        <f t="array" ref="E102">INDEX(E:E, 14 + INT((ROW()-18)/8)*8)
 - $C$9 *
 INDEX(AR:AR, 18 + INT((ROW()-18)/8)*8)</f>
        <v>-5.1442380918070407</v>
      </c>
      <c r="F102" s="3" cm="1">
        <f t="array" ref="F102">INDEX(F:F, 14 + INT((ROW()-18)/8)*8)
 - $C$9 *
 INDEX(AS:AS, 18 + INT((ROW()-18)/8)*8)</f>
        <v>-5.1384962994003649</v>
      </c>
      <c r="G102" s="3" cm="1">
        <f t="array" ref="G102">INDEX(G:G, 14 + INT((ROW()-18)/8)*8)
 - $C$9 *
 INDEX(X:X, 18 + INT((ROW()-18)/8)*8)</f>
        <v>1.6564700110443638</v>
      </c>
      <c r="H102" s="3" cm="1">
        <f t="array" ref="H102">INDEX(H:H, 14 + INT((ROW()-18)/8)*8)
 - $C$9 *
 INDEX(Y:Y, 18 + INT((ROW()-18)/8)*8)</f>
        <v>-4.2564871602826004</v>
      </c>
      <c r="I102" s="3" cm="1">
        <f t="array" ref="I102">INDEX(I:I, 14 + INT((ROW()-18)/8)*8)
 - $C$9 *
 INDEX(Z:Z, 18 + INT((ROW()-18)/8)*8)</f>
        <v>-3.0165102989677575</v>
      </c>
      <c r="J102" s="3">
        <v>0</v>
      </c>
      <c r="K102" s="3">
        <v>0</v>
      </c>
      <c r="L102" s="1" cm="1">
        <f t="array" ref="L102">INDEX(B:B, 14 + INT((ROW()-14)/8)*8)*J102
+ INDEX(C:C, 14 + INT((ROW()-14)/8)*8)*K102
+ INDEX(A:A, 14 + INT((ROW()-14)/8)*8)</f>
        <v>-5.6775187209454216</v>
      </c>
      <c r="M102" s="1" cm="1">
        <f t="array" ref="M102">INDEX(E:E, 14 + INT((ROW()-14)/8)*8)*J102
+ INDEX(F:F, 14 + INT((ROW()-14)/8)*8)*K102
+ INDEX(D:D, 14 + INT((ROW()-14)/8)*8)</f>
        <v>2.6717925847065591</v>
      </c>
      <c r="N102" s="1">
        <f>1/(1+EXP(-L102))</f>
        <v>3.4103685373915137E-3</v>
      </c>
      <c r="O102" s="1">
        <f>1/(1+EXP(-M102))</f>
        <v>0.93534152753072686</v>
      </c>
      <c r="P102" s="1" cm="1">
        <f t="array" ref="P102">INDEX(H:H, 14 + INT((ROW()-14)/8)*8)*N102
+ INDEX(I:I, 14 + INT((ROW()-14)/8)*8)*O102
+ INDEX(G:G, 14 + INT((ROW()-14)/8)*8)</f>
        <v>-1.1795135296955466</v>
      </c>
      <c r="Q102" s="1">
        <f>1/(1+EXP(-P102))</f>
        <v>0.23513967616510634</v>
      </c>
      <c r="R102" s="8">
        <f>($C$4-Q102)^2</f>
        <v>5.5290667307031076E-2</v>
      </c>
      <c r="S102" s="1">
        <f>2*(Q102-$C$4)</f>
        <v>0.47027935233021267</v>
      </c>
      <c r="T102" s="1">
        <f>Q102*(1-Q102)</f>
        <v>0.17984900885807525</v>
      </c>
      <c r="U102" s="1">
        <v>1</v>
      </c>
      <c r="V102" s="1">
        <f>N102</f>
        <v>3.4103685373915137E-3</v>
      </c>
      <c r="W102" s="8">
        <f>O102</f>
        <v>0.93534152753072686</v>
      </c>
      <c r="X102" s="1">
        <f>S102*T102*U102</f>
        <v>8.4579275403006318E-2</v>
      </c>
      <c r="Y102" s="1">
        <f>S102*T102*V102</f>
        <v>2.8844649974978467E-4</v>
      </c>
      <c r="Z102" s="8">
        <f>S102*T102*W102</f>
        <v>7.911050865288996E-2</v>
      </c>
      <c r="AA102" s="1">
        <f>2*(Q102-$C$4)</f>
        <v>0.47027935233021267</v>
      </c>
      <c r="AB102" s="1" cm="1">
        <f t="array" ref="AB102">INDEX(H:H, 14 + INT((ROW()-14)/8)*8)</f>
        <v>-4.2564871602826004</v>
      </c>
      <c r="AC102" s="1" cm="1">
        <f t="array" ref="AC102">INDEX(I:I, 14 + INT((ROW()-14)/8)*8)</f>
        <v>-3.0165102989677575</v>
      </c>
      <c r="AD102" s="1">
        <f>N102*(1-N102)</f>
        <v>3.3987379238306836E-3</v>
      </c>
      <c r="AE102" s="1">
        <f xml:space="preserve"> O102*(1-O102)</f>
        <v>6.047775440721339E-2</v>
      </c>
      <c r="AF102" s="1">
        <v>1</v>
      </c>
      <c r="AG102" s="1">
        <f>J102</f>
        <v>0</v>
      </c>
      <c r="AH102" s="1">
        <f>K102</f>
        <v>0</v>
      </c>
      <c r="AI102" s="1"/>
      <c r="AJ102" s="1"/>
      <c r="AK102" s="1">
        <v>1</v>
      </c>
      <c r="AL102" s="1">
        <f>J102</f>
        <v>0</v>
      </c>
      <c r="AM102" s="8">
        <f>K102</f>
        <v>0</v>
      </c>
      <c r="AN102" s="1">
        <f>S102*T102*AB102*AD102*AF102</f>
        <v>-1.2235816784495859E-3</v>
      </c>
      <c r="AO102" s="1">
        <f>S102*T102*AB102*AD102*AG102</f>
        <v>0</v>
      </c>
      <c r="AP102" s="1">
        <f>S102*T102*AB102*AD102*AH102</f>
        <v>0</v>
      </c>
      <c r="AQ102" s="1">
        <f>S102*T102*AC102*AE102*AK102</f>
        <v>-1.5429946834860091E-2</v>
      </c>
      <c r="AR102" s="1">
        <f>S102*T102*AC102*AE102*AL102</f>
        <v>0</v>
      </c>
      <c r="AS102" s="8">
        <f>S102*T102*AC102*AE102*AM102</f>
        <v>0</v>
      </c>
      <c r="AT102" s="1"/>
    </row>
    <row r="103" spans="1:4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3">
        <v>0</v>
      </c>
      <c r="K103" s="3">
        <v>1</v>
      </c>
      <c r="L103" s="1" cm="1">
        <f t="array" ref="L103">INDEX(B:B, 14 + INT((ROW()-14)/8)*8)*J103
+ INDEX(C:C, 14 + INT((ROW()-14)/8)*8)*K103
+ INDEX(A:A, 14 + INT((ROW()-14)/8)*8)</f>
        <v>-3.9188756408451759</v>
      </c>
      <c r="M103" s="1" cm="1">
        <f t="array" ref="M103">INDEX(E:E, 14 + INT((ROW()-14)/8)*8)*J103
+ INDEX(F:F, 14 + INT((ROW()-14)/8)*8)*K103
+ INDEX(D:D, 14 + INT((ROW()-14)/8)*8)</f>
        <v>-2.4667037146938058</v>
      </c>
      <c r="N103" s="1">
        <f t="shared" ref="N103:N105" si="231">1/(1+EXP(-L103))</f>
        <v>1.9476545093310052E-2</v>
      </c>
      <c r="O103" s="1">
        <f t="shared" ref="O103:O105" si="232">1/(1+EXP(-M103))</f>
        <v>7.8225588012199601E-2</v>
      </c>
      <c r="P103" s="1" cm="1">
        <f t="array" ref="P103">INDEX(H:H, 14 + INT((ROW()-14)/8)*8)*N103
+ INDEX(I:I, 14 + INT((ROW()-14)/8)*8)*O103
+ INDEX(G:G, 14 + INT((ROW()-14)/8)*8)</f>
        <v>1.3376000550464155</v>
      </c>
      <c r="Q103" s="1">
        <f t="shared" ref="Q103:Q105" si="233">1/(1+EXP(-P103))</f>
        <v>0.79209499432333519</v>
      </c>
      <c r="R103" s="8">
        <f>($C$5-Q103)^2</f>
        <v>4.3224491385414031E-2</v>
      </c>
      <c r="S103" s="1">
        <f>2*(Q103-$C$5)</f>
        <v>-0.41581001135332962</v>
      </c>
      <c r="T103" s="1">
        <f t="shared" ref="T103:T105" si="234">Q103*(1-Q103)</f>
        <v>0.16468051429125077</v>
      </c>
      <c r="U103" s="1">
        <v>1</v>
      </c>
      <c r="V103" s="1">
        <f t="shared" ref="V103:V105" si="235">N103</f>
        <v>1.9476545093310052E-2</v>
      </c>
      <c r="W103" s="8">
        <f t="shared" ref="W103:W105" si="236">O103</f>
        <v>7.8225588012199601E-2</v>
      </c>
      <c r="X103" s="1">
        <f t="shared" ref="X103:X105" si="237">S103*T103*U103</f>
        <v>-6.8475806517117141E-2</v>
      </c>
      <c r="Y103" s="1">
        <f t="shared" ref="Y103:Y105" si="238">S103*T103*V103</f>
        <v>-1.3336721334314063E-3</v>
      </c>
      <c r="Z103" s="8">
        <f t="shared" ref="Z103:Z105" si="239">S103*T103*W103</f>
        <v>-5.3565602294110976E-3</v>
      </c>
      <c r="AA103" s="1">
        <f>2*(Q103-$C$5)</f>
        <v>-0.41581001135332962</v>
      </c>
      <c r="AB103" s="1" cm="1">
        <f t="array" ref="AB103">INDEX(H:H, 14 + INT((ROW()-14)/8)*8)</f>
        <v>-4.2564871602826004</v>
      </c>
      <c r="AC103" s="1" cm="1">
        <f t="array" ref="AC103">INDEX(I:I, 14 + INT((ROW()-14)/8)*8)</f>
        <v>-3.0165102989677575</v>
      </c>
      <c r="AD103" s="1">
        <f t="shared" ref="AD103:AD105" si="240">N103*(1-N103)</f>
        <v>1.909720928453831E-2</v>
      </c>
      <c r="AE103" s="1">
        <f t="shared" ref="AE103:AE105" si="241" xml:space="preserve"> O103*(1-O103)</f>
        <v>7.2106345392345214E-2</v>
      </c>
      <c r="AF103" s="1">
        <v>1</v>
      </c>
      <c r="AG103" s="1">
        <f t="shared" ref="AG103:AG105" si="242">J103</f>
        <v>0</v>
      </c>
      <c r="AH103" s="1">
        <f t="shared" ref="AH103:AH105" si="243">K103</f>
        <v>1</v>
      </c>
      <c r="AI103" s="1"/>
      <c r="AJ103" s="1"/>
      <c r="AK103" s="1">
        <v>1</v>
      </c>
      <c r="AL103" s="1">
        <f t="shared" ref="AL103:AL105" si="244">J103</f>
        <v>0</v>
      </c>
      <c r="AM103" s="8">
        <f t="shared" ref="AM103:AM105" si="245">K103</f>
        <v>1</v>
      </c>
      <c r="AN103" s="1">
        <f t="shared" ref="AN103:AN105" si="246">S103*T103*AB103*AD103*AF103</f>
        <v>5.5661946727304313E-3</v>
      </c>
      <c r="AO103" s="1">
        <f t="shared" ref="AO103:AO105" si="247">S103*T103*AB103*AD103*AG103</f>
        <v>0</v>
      </c>
      <c r="AP103" s="1">
        <f t="shared" ref="AP103:AP105" si="248">S103*T103*AB103*AD103*AH103</f>
        <v>5.5661946727304313E-3</v>
      </c>
      <c r="AQ103" s="1">
        <f t="shared" ref="AQ103:AQ105" si="249">S103*T103*AC103*AE103*AK103</f>
        <v>1.4894140731364575E-2</v>
      </c>
      <c r="AR103" s="1">
        <f t="shared" ref="AR103:AR105" si="250">S103*T103*AC103*AE103*AL103</f>
        <v>0</v>
      </c>
      <c r="AS103" s="8">
        <f t="shared" ref="AS103:AS105" si="251">S103*T103*AC103*AE103*AM103</f>
        <v>1.4894140731364575E-2</v>
      </c>
      <c r="AT103" s="1"/>
    </row>
    <row r="104" spans="1:4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3">
        <v>1</v>
      </c>
      <c r="K104" s="3">
        <v>0</v>
      </c>
      <c r="L104" s="1" cm="1">
        <f t="array" ref="L104">INDEX(B:B, 14 + INT((ROW()-14)/8)*8)*J104
+ INDEX(C:C, 14 + INT((ROW()-14)/8)*8)*K104
+ INDEX(A:A, 14 + INT((ROW()-14)/8)*8)</f>
        <v>-1.3118730758433115</v>
      </c>
      <c r="M104" s="1" cm="1">
        <f t="array" ref="M104">INDEX(E:E, 14 + INT((ROW()-14)/8)*8)*J104
+ INDEX(F:F, 14 + INT((ROW()-14)/8)*8)*K104
+ INDEX(D:D, 14 + INT((ROW()-14)/8)*8)</f>
        <v>-2.4724455071004816</v>
      </c>
      <c r="N104" s="1">
        <f t="shared" si="231"/>
        <v>0.21217357955152835</v>
      </c>
      <c r="O104" s="1">
        <f t="shared" si="232"/>
        <v>7.7812569703876192E-2</v>
      </c>
      <c r="P104" s="1" cm="1">
        <f t="array" ref="P104">INDEX(H:H, 14 + INT((ROW()-14)/8)*8)*N104
+ INDEX(I:I, 14 + INT((ROW()-14)/8)*8)*O104
+ INDEX(G:G, 14 + INT((ROW()-14)/8)*8)</f>
        <v>0.51863347603119547</v>
      </c>
      <c r="Q104" s="1">
        <f t="shared" si="233"/>
        <v>0.62682817182522355</v>
      </c>
      <c r="R104" s="8">
        <f>($C$6-Q104)^2</f>
        <v>0.13925721334330488</v>
      </c>
      <c r="S104" s="1">
        <f>2*(Q104-$C$6)</f>
        <v>-0.74634365634955291</v>
      </c>
      <c r="T104" s="1">
        <f t="shared" si="234"/>
        <v>0.23391461483147158</v>
      </c>
      <c r="U104" s="1">
        <v>1</v>
      </c>
      <c r="V104" s="1">
        <f t="shared" si="235"/>
        <v>0.21217357955152835</v>
      </c>
      <c r="W104" s="8">
        <f t="shared" si="236"/>
        <v>7.7812569703876192E-2</v>
      </c>
      <c r="X104" s="1">
        <f t="shared" si="237"/>
        <v>-0.17458068890691786</v>
      </c>
      <c r="Y104" s="1">
        <f t="shared" si="238"/>
        <v>-3.7041409685952556E-2</v>
      </c>
      <c r="Z104" s="8">
        <f t="shared" si="239"/>
        <v>-1.3584572024520271E-2</v>
      </c>
      <c r="AA104" s="1">
        <f>2*(Q104-$C$6)</f>
        <v>-0.74634365634955291</v>
      </c>
      <c r="AB104" s="1" cm="1">
        <f t="array" ref="AB104">INDEX(H:H, 14 + INT((ROW()-14)/8)*8)</f>
        <v>-4.2564871602826004</v>
      </c>
      <c r="AC104" s="1" cm="1">
        <f t="array" ref="AC104">INDEX(I:I, 14 + INT((ROW()-14)/8)*8)</f>
        <v>-3.0165102989677575</v>
      </c>
      <c r="AD104" s="1">
        <f t="shared" si="240"/>
        <v>0.16715595169181963</v>
      </c>
      <c r="AE104" s="1">
        <f t="shared" si="241"/>
        <v>7.1757773699955604E-2</v>
      </c>
      <c r="AF104" s="1">
        <v>1</v>
      </c>
      <c r="AG104" s="1">
        <f t="shared" si="242"/>
        <v>1</v>
      </c>
      <c r="AH104" s="1">
        <f t="shared" si="243"/>
        <v>0</v>
      </c>
      <c r="AI104" s="1"/>
      <c r="AJ104" s="1"/>
      <c r="AK104" s="1">
        <v>1</v>
      </c>
      <c r="AL104" s="1">
        <f t="shared" si="244"/>
        <v>1</v>
      </c>
      <c r="AM104" s="8">
        <f t="shared" si="245"/>
        <v>0</v>
      </c>
      <c r="AN104" s="1">
        <f t="shared" si="246"/>
        <v>0.12421366472190135</v>
      </c>
      <c r="AO104" s="1">
        <f t="shared" si="247"/>
        <v>0.12421366472190135</v>
      </c>
      <c r="AP104" s="1">
        <f t="shared" si="248"/>
        <v>0</v>
      </c>
      <c r="AQ104" s="1">
        <f t="shared" si="249"/>
        <v>3.7789397827290502E-2</v>
      </c>
      <c r="AR104" s="1">
        <f t="shared" si="250"/>
        <v>3.7789397827290502E-2</v>
      </c>
      <c r="AS104" s="8">
        <f t="shared" si="251"/>
        <v>0</v>
      </c>
      <c r="AT104" s="1"/>
    </row>
    <row r="105" spans="1:4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3">
        <v>1</v>
      </c>
      <c r="K105" s="3">
        <v>1</v>
      </c>
      <c r="L105" s="1" cm="1">
        <f t="array" ref="L105">INDEX(B:B, 14 + INT((ROW()-14)/8)*8)*J105
+ INDEX(C:C, 14 + INT((ROW()-14)/8)*8)*K105
+ INDEX(A:A, 14 + INT((ROW()-14)/8)*8)</f>
        <v>0.44677000425693425</v>
      </c>
      <c r="M105" s="1" cm="1">
        <f t="array" ref="M105">INDEX(E:E, 14 + INT((ROW()-14)/8)*8)*J105
+ INDEX(F:F, 14 + INT((ROW()-14)/8)*8)*K105
+ INDEX(D:D, 14 + INT((ROW()-14)/8)*8)</f>
        <v>-7.610941806500847</v>
      </c>
      <c r="N105" s="1">
        <f t="shared" si="231"/>
        <v>0.60987099964926272</v>
      </c>
      <c r="O105" s="1">
        <f t="shared" si="232"/>
        <v>4.9476053037897816E-4</v>
      </c>
      <c r="P105" s="1" cm="1">
        <f t="array" ref="P105">INDEX(H:H, 14 + INT((ROW()-14)/8)*8)*N105
+ INDEX(I:I, 14 + INT((ROW()-14)/8)*8)*O105
+ INDEX(G:G, 14 + INT((ROW()-14)/8)*8)</f>
        <v>-0.9409305186268484</v>
      </c>
      <c r="Q105" s="1">
        <f t="shared" si="233"/>
        <v>0.28071242048352224</v>
      </c>
      <c r="R105" s="8">
        <f>($C$7-Q105)^2</f>
        <v>7.8799463013717791E-2</v>
      </c>
      <c r="S105" s="1">
        <f>2*(Q105-$C$7)</f>
        <v>0.56142484096704448</v>
      </c>
      <c r="T105" s="1">
        <f t="shared" si="234"/>
        <v>0.20191295746980442</v>
      </c>
      <c r="U105" s="1">
        <v>1</v>
      </c>
      <c r="V105" s="1">
        <f t="shared" si="235"/>
        <v>0.60987099964926272</v>
      </c>
      <c r="W105" s="8">
        <f t="shared" si="236"/>
        <v>4.9476053037897816E-4</v>
      </c>
      <c r="X105" s="1">
        <f t="shared" si="237"/>
        <v>0.11335895003667057</v>
      </c>
      <c r="Y105" s="1">
        <f t="shared" si="238"/>
        <v>6.9134336178055103E-2</v>
      </c>
      <c r="Z105" s="8">
        <f t="shared" si="239"/>
        <v>5.6085534243347216E-5</v>
      </c>
      <c r="AA105" s="1">
        <f>2*(Q105-$C$7)</f>
        <v>0.56142484096704448</v>
      </c>
      <c r="AB105" s="1" cm="1">
        <f t="array" ref="AB105">INDEX(H:H, 14 + INT((ROW()-14)/8)*8)</f>
        <v>-4.2564871602826004</v>
      </c>
      <c r="AC105" s="1" cm="1">
        <f t="array" ref="AC105">INDEX(I:I, 14 + INT((ROW()-14)/8)*8)</f>
        <v>-3.0165102989677575</v>
      </c>
      <c r="AD105" s="1">
        <f t="shared" si="240"/>
        <v>0.23792836343607171</v>
      </c>
      <c r="AE105" s="1">
        <f t="shared" si="241"/>
        <v>4.9451574239655727E-4</v>
      </c>
      <c r="AF105" s="1">
        <v>1</v>
      </c>
      <c r="AG105" s="1">
        <f t="shared" si="242"/>
        <v>1</v>
      </c>
      <c r="AH105" s="1">
        <f t="shared" si="243"/>
        <v>1</v>
      </c>
      <c r="AI105" s="1"/>
      <c r="AJ105" s="1"/>
      <c r="AK105" s="1">
        <v>1</v>
      </c>
      <c r="AL105" s="1">
        <f t="shared" si="244"/>
        <v>1</v>
      </c>
      <c r="AM105" s="8">
        <f t="shared" si="245"/>
        <v>1</v>
      </c>
      <c r="AN105" s="1">
        <f t="shared" si="246"/>
        <v>-0.11480303242550838</v>
      </c>
      <c r="AO105" s="1">
        <f t="shared" si="247"/>
        <v>-0.11480303242550838</v>
      </c>
      <c r="AP105" s="1">
        <f t="shared" si="248"/>
        <v>-0.11480303242550838</v>
      </c>
      <c r="AQ105" s="1">
        <f t="shared" si="249"/>
        <v>-1.6909888679938109E-4</v>
      </c>
      <c r="AR105" s="1">
        <f t="shared" si="250"/>
        <v>-1.6909888679938109E-4</v>
      </c>
      <c r="AS105" s="8">
        <f t="shared" si="251"/>
        <v>-1.6909888679938109E-4</v>
      </c>
      <c r="AT105" s="1"/>
    </row>
    <row r="106" spans="1:4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46">
        <f>SUM(R102:R105)</f>
        <v>0.31657183504946773</v>
      </c>
      <c r="S106" s="1"/>
      <c r="T106" s="1"/>
      <c r="U106" s="1"/>
      <c r="V106" s="1"/>
      <c r="W106" s="1"/>
      <c r="X106" s="1">
        <f>AVERAGE(X102:X105)</f>
        <v>-1.1279567496089528E-2</v>
      </c>
      <c r="Y106" s="1">
        <f>AVERAGE(Y102:Y105)</f>
        <v>7.7619252146052305E-3</v>
      </c>
      <c r="Z106" s="1">
        <f>AVERAGE(Z102:Z105)</f>
        <v>1.5056365483300485E-2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>
        <f>AVERAGE(AN102:AN105)</f>
        <v>3.4383113226684539E-3</v>
      </c>
      <c r="AO106" s="1">
        <f>AVERAGE(AO102:AO105)</f>
        <v>2.352658074098242E-3</v>
      </c>
      <c r="AP106" s="1">
        <f xml:space="preserve"> AVERAGE(AP102:AP105)</f>
        <v>-2.7309209438194485E-2</v>
      </c>
      <c r="AQ106" s="1">
        <f>AVERAGE(AQ102:AQ105)</f>
        <v>9.2711232092489004E-3</v>
      </c>
      <c r="AR106" s="1">
        <f>AVERAGE(AR102:AR105)</f>
        <v>9.4050747351227797E-3</v>
      </c>
      <c r="AS106" s="1">
        <f>AVERAGE(AS102:AS105)</f>
        <v>3.6812604611412983E-3</v>
      </c>
      <c r="AT106" s="1"/>
    </row>
    <row r="107" spans="1:4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8"/>
      <c r="S107" s="1"/>
      <c r="T107" s="1"/>
      <c r="U107" s="1"/>
      <c r="V107" s="1"/>
      <c r="W107" s="8"/>
      <c r="X107" s="1"/>
      <c r="Y107" s="1"/>
      <c r="Z107" s="8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8"/>
      <c r="AM107" s="1"/>
      <c r="AN107" s="1"/>
      <c r="AO107" s="1"/>
      <c r="AP107" s="1"/>
      <c r="AQ107" s="1"/>
      <c r="AR107" s="8"/>
      <c r="AS107" s="1"/>
    </row>
    <row r="108" spans="1:46" ht="15" thickBot="1" x14ac:dyDescent="0.35">
      <c r="A108" s="1" t="s">
        <v>38</v>
      </c>
      <c r="B108" s="1">
        <v>12</v>
      </c>
      <c r="C108" s="1"/>
      <c r="D108" s="1"/>
      <c r="E108" s="1"/>
      <c r="F108" s="1"/>
      <c r="G108" s="1"/>
      <c r="H108" s="1"/>
      <c r="I108" s="1"/>
      <c r="J108" s="30" t="s">
        <v>7</v>
      </c>
      <c r="K108" s="31"/>
      <c r="L108" s="30" t="s">
        <v>8</v>
      </c>
      <c r="M108" s="31"/>
      <c r="N108" s="30" t="s">
        <v>9</v>
      </c>
      <c r="O108" s="31"/>
      <c r="P108" s="1"/>
      <c r="Q108" s="9" t="s">
        <v>10</v>
      </c>
      <c r="R108" s="10" t="s">
        <v>11</v>
      </c>
      <c r="S108" s="1"/>
      <c r="T108" s="11"/>
      <c r="U108" s="23" t="s">
        <v>13</v>
      </c>
      <c r="V108" s="24"/>
      <c r="W108" s="26"/>
      <c r="X108" s="32" t="s">
        <v>12</v>
      </c>
      <c r="Y108" s="33"/>
      <c r="Z108" s="34"/>
      <c r="AA108" s="35"/>
      <c r="AB108" s="25"/>
      <c r="AC108" s="21"/>
      <c r="AD108" s="22"/>
      <c r="AE108" s="11"/>
      <c r="AF108" s="11"/>
      <c r="AG108" s="23" t="s">
        <v>44</v>
      </c>
      <c r="AH108" s="24"/>
      <c r="AI108" s="25"/>
      <c r="AJ108" s="17"/>
      <c r="AK108" s="17"/>
      <c r="AL108" s="23" t="s">
        <v>45</v>
      </c>
      <c r="AM108" s="24"/>
      <c r="AN108" s="26"/>
      <c r="AO108" s="27" t="s">
        <v>12</v>
      </c>
      <c r="AP108" s="28"/>
      <c r="AQ108" s="28"/>
      <c r="AR108" s="28"/>
      <c r="AS108" s="28"/>
      <c r="AT108" s="29"/>
    </row>
    <row r="109" spans="1:46" ht="15" thickBot="1" x14ac:dyDescent="0.35">
      <c r="A109" s="12" t="s">
        <v>14</v>
      </c>
      <c r="B109" s="12" t="s">
        <v>15</v>
      </c>
      <c r="C109" s="12" t="s">
        <v>16</v>
      </c>
      <c r="D109" s="12" t="s">
        <v>17</v>
      </c>
      <c r="E109" s="12" t="s">
        <v>18</v>
      </c>
      <c r="F109" s="12" t="s">
        <v>19</v>
      </c>
      <c r="G109" s="12" t="s">
        <v>20</v>
      </c>
      <c r="H109" s="12" t="s">
        <v>21</v>
      </c>
      <c r="I109" s="12" t="s">
        <v>22</v>
      </c>
      <c r="J109" s="12" t="s">
        <v>23</v>
      </c>
      <c r="K109" s="12" t="s">
        <v>24</v>
      </c>
      <c r="L109" s="12" t="s">
        <v>39</v>
      </c>
      <c r="M109" s="12" t="s">
        <v>40</v>
      </c>
      <c r="N109" s="12" t="s">
        <v>41</v>
      </c>
      <c r="O109" s="12" t="s">
        <v>42</v>
      </c>
      <c r="P109" s="12" t="s">
        <v>25</v>
      </c>
      <c r="Q109" s="12" t="s">
        <v>26</v>
      </c>
      <c r="R109" s="13" t="s">
        <v>27</v>
      </c>
      <c r="S109" s="12" t="s">
        <v>43</v>
      </c>
      <c r="T109" s="12" t="s">
        <v>31</v>
      </c>
      <c r="U109" s="12" t="s">
        <v>28</v>
      </c>
      <c r="V109" s="12" t="s">
        <v>29</v>
      </c>
      <c r="W109" s="13" t="s">
        <v>30</v>
      </c>
      <c r="X109" s="12" t="s">
        <v>28</v>
      </c>
      <c r="Y109" s="12" t="s">
        <v>29</v>
      </c>
      <c r="Z109" s="13" t="s">
        <v>30</v>
      </c>
      <c r="AA109" s="12" t="s">
        <v>50</v>
      </c>
      <c r="AB109" s="12" t="s">
        <v>48</v>
      </c>
      <c r="AC109" s="12" t="s">
        <v>49</v>
      </c>
      <c r="AD109" s="12" t="s">
        <v>46</v>
      </c>
      <c r="AE109" s="12" t="s">
        <v>47</v>
      </c>
      <c r="AF109" s="12" t="s">
        <v>32</v>
      </c>
      <c r="AG109" s="12" t="s">
        <v>33</v>
      </c>
      <c r="AH109" s="12" t="s">
        <v>34</v>
      </c>
      <c r="AI109" s="12"/>
      <c r="AJ109" s="12"/>
      <c r="AK109" s="12" t="s">
        <v>35</v>
      </c>
      <c r="AL109" s="12" t="s">
        <v>36</v>
      </c>
      <c r="AM109" s="13" t="s">
        <v>37</v>
      </c>
      <c r="AN109" s="12" t="s">
        <v>32</v>
      </c>
      <c r="AO109" s="12" t="s">
        <v>33</v>
      </c>
      <c r="AP109" s="12" t="s">
        <v>34</v>
      </c>
      <c r="AQ109" s="12" t="s">
        <v>35</v>
      </c>
      <c r="AR109" s="12" t="s">
        <v>36</v>
      </c>
      <c r="AS109" s="13" t="s">
        <v>37</v>
      </c>
      <c r="AT109" s="1"/>
    </row>
    <row r="110" spans="1:46" ht="15" thickBot="1" x14ac:dyDescent="0.35">
      <c r="A110" s="3" cm="1">
        <f t="array" ref="A110">INDEX(A:A, 14 + INT((ROW()-18)/8)*8)
 - $C$9 *
 INDEX(AN:AN, 18 + INT((ROW()-18)/8)*8)</f>
        <v>-5.6947102775587641</v>
      </c>
      <c r="B110" s="3" cm="1">
        <f t="array" ref="B110">INDEX(B:B, 14 + INT((ROW()-18)/8)*8)
 - $C$9 *
 INDEX(AO:AO, 18 + INT((ROW()-18)/8)*8)</f>
        <v>4.3538823547316188</v>
      </c>
      <c r="C110" s="3" cm="1">
        <f t="array" ref="C110">INDEX(C:C, 14 + INT((ROW()-18)/8)*8)
 - $C$9 *
 INDEX(AP:AP, 18 + INT((ROW()-18)/8)*8)</f>
        <v>1.8951891272912182</v>
      </c>
      <c r="D110" s="3" cm="1">
        <f t="array" ref="D110">INDEX(D:D, 14 + INT((ROW()-18)/8)*8)
 - $C$9 *
 INDEX(AQ:AQ, 18 + INT((ROW()-18)/8)*8)</f>
        <v>2.6254369686603147</v>
      </c>
      <c r="E110" s="3" cm="1">
        <f t="array" ref="E110">INDEX(E:E, 14 + INT((ROW()-18)/8)*8)
 - $C$9 *
 INDEX(AR:AR, 18 + INT((ROW()-18)/8)*8)</f>
        <v>-5.1912634654826544</v>
      </c>
      <c r="F110" s="3" cm="1">
        <f t="array" ref="F110">INDEX(F:F, 14 + INT((ROW()-18)/8)*8)
 - $C$9 *
 INDEX(AS:AS, 18 + INT((ROW()-18)/8)*8)</f>
        <v>-5.1569026017060713</v>
      </c>
      <c r="G110" s="3" cm="1">
        <f t="array" ref="G110">INDEX(G:G, 14 + INT((ROW()-18)/8)*8)
 - $C$9 *
 INDEX(X:X, 18 + INT((ROW()-18)/8)*8)</f>
        <v>1.7128678485248114</v>
      </c>
      <c r="H110" s="3" cm="1">
        <f t="array" ref="H110">INDEX(H:H, 14 + INT((ROW()-18)/8)*8)
 - $C$9 *
 INDEX(Y:Y, 18 + INT((ROW()-18)/8)*8)</f>
        <v>-4.2952967863556264</v>
      </c>
      <c r="I110" s="3" cm="1">
        <f t="array" ref="I110">INDEX(I:I, 14 + INT((ROW()-18)/8)*8)
 - $C$9 *
 INDEX(Z:Z, 18 + INT((ROW()-18)/8)*8)</f>
        <v>-3.0917921263842598</v>
      </c>
      <c r="J110" s="3">
        <v>0</v>
      </c>
      <c r="K110" s="3">
        <v>0</v>
      </c>
      <c r="L110" s="1" cm="1">
        <f t="array" ref="L110">INDEX(B:B, 14 + INT((ROW()-14)/8)*8)*J110
+ INDEX(C:C, 14 + INT((ROW()-14)/8)*8)*K110
+ INDEX(A:A, 14 + INT((ROW()-14)/8)*8)</f>
        <v>-5.6947102775587641</v>
      </c>
      <c r="M110" s="1" cm="1">
        <f t="array" ref="M110">INDEX(E:E, 14 + INT((ROW()-14)/8)*8)*J110
+ INDEX(F:F, 14 + INT((ROW()-14)/8)*8)*K110
+ INDEX(D:D, 14 + INT((ROW()-14)/8)*8)</f>
        <v>2.6254369686603147</v>
      </c>
      <c r="N110" s="1">
        <f>1/(1+EXP(-L110))</f>
        <v>3.3524349564062555E-3</v>
      </c>
      <c r="O110" s="1">
        <f>1/(1+EXP(-M110))</f>
        <v>0.93248082575348445</v>
      </c>
      <c r="P110" s="1" cm="1">
        <f t="array" ref="P110">INDEX(H:H, 14 + INT((ROW()-14)/8)*8)*N110
+ INDEX(I:I, 14 + INT((ROW()-14)/8)*8)*O110
+ INDEX(G:G, 14 + INT((ROW()-14)/8)*8)</f>
        <v>-1.1845687296388228</v>
      </c>
      <c r="Q110" s="1">
        <f>1/(1+EXP(-P110))</f>
        <v>0.23423172108023929</v>
      </c>
      <c r="R110" s="8">
        <f>($C$4-Q110)^2</f>
        <v>5.4864499160211015E-2</v>
      </c>
      <c r="S110" s="1">
        <f>2*(Q110-$C$4)</f>
        <v>0.46846344216047858</v>
      </c>
      <c r="T110" s="1">
        <f>Q110*(1-Q110)</f>
        <v>0.17936722192002827</v>
      </c>
      <c r="U110" s="1">
        <v>1</v>
      </c>
      <c r="V110" s="1">
        <f>N110</f>
        <v>3.3524349564062555E-3</v>
      </c>
      <c r="W110" s="8">
        <f>O110</f>
        <v>0.93248082575348445</v>
      </c>
      <c r="X110" s="1">
        <f>S110*T110*U110</f>
        <v>8.4026986191418893E-2</v>
      </c>
      <c r="Y110" s="1">
        <f>S110*T110*V110</f>
        <v>2.8169500578957844E-4</v>
      </c>
      <c r="Z110" s="8">
        <f>S110*T110*W110</f>
        <v>7.8353553469350926E-2</v>
      </c>
      <c r="AA110" s="1">
        <f>2*(Q110-$C$4)</f>
        <v>0.46846344216047858</v>
      </c>
      <c r="AB110" s="1" cm="1">
        <f t="array" ref="AB110">INDEX(H:H, 14 + INT((ROW()-14)/8)*8)</f>
        <v>-4.2952967863556264</v>
      </c>
      <c r="AC110" s="1" cm="1">
        <f t="array" ref="AC110">INDEX(I:I, 14 + INT((ROW()-14)/8)*8)</f>
        <v>-3.0917921263842598</v>
      </c>
      <c r="AD110" s="1">
        <f>N110*(1-N110)</f>
        <v>3.3411961362693208E-3</v>
      </c>
      <c r="AE110" s="1">
        <f xml:space="preserve"> O110*(1-O110)</f>
        <v>6.2960335355584221E-2</v>
      </c>
      <c r="AF110" s="1">
        <v>1</v>
      </c>
      <c r="AG110" s="1">
        <f>J110</f>
        <v>0</v>
      </c>
      <c r="AH110" s="1">
        <f>K110</f>
        <v>0</v>
      </c>
      <c r="AI110" s="1"/>
      <c r="AJ110" s="1"/>
      <c r="AK110" s="1">
        <v>1</v>
      </c>
      <c r="AL110" s="1">
        <f>J110</f>
        <v>0</v>
      </c>
      <c r="AM110" s="8">
        <f>K110</f>
        <v>0</v>
      </c>
      <c r="AN110" s="1">
        <f>S110*T110*AB110*AD110*AF110</f>
        <v>-1.2059073286537709E-3</v>
      </c>
      <c r="AO110" s="1">
        <f>S110*T110*AB110*AD110*AG110</f>
        <v>0</v>
      </c>
      <c r="AP110" s="1">
        <f>S110*T110*AB110*AD110*AH110</f>
        <v>0</v>
      </c>
      <c r="AQ110" s="1">
        <f>S110*T110*AC110*AE110*AK110</f>
        <v>-1.6356715745944567E-2</v>
      </c>
      <c r="AR110" s="1">
        <f>S110*T110*AC110*AE110*AL110</f>
        <v>0</v>
      </c>
      <c r="AS110" s="8">
        <f>S110*T110*AC110*AE110*AM110</f>
        <v>0</v>
      </c>
      <c r="AT110" s="1"/>
    </row>
    <row r="111" spans="1:4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3">
        <v>0</v>
      </c>
      <c r="K111" s="3">
        <v>1</v>
      </c>
      <c r="L111" s="1" cm="1">
        <f t="array" ref="L111">INDEX(B:B, 14 + INT((ROW()-14)/8)*8)*J111
+ INDEX(C:C, 14 + INT((ROW()-14)/8)*8)*K111
+ INDEX(A:A, 14 + INT((ROW()-14)/8)*8)</f>
        <v>-3.7995211502675459</v>
      </c>
      <c r="M111" s="1" cm="1">
        <f t="array" ref="M111">INDEX(E:E, 14 + INT((ROW()-14)/8)*8)*J111
+ INDEX(F:F, 14 + INT((ROW()-14)/8)*8)*K111
+ INDEX(D:D, 14 + INT((ROW()-14)/8)*8)</f>
        <v>-2.5314656330457566</v>
      </c>
      <c r="N111" s="1">
        <f t="shared" ref="N111:N113" si="252">1/(1+EXP(-L111))</f>
        <v>2.1891521855113616E-2</v>
      </c>
      <c r="O111" s="1">
        <f t="shared" ref="O111:O113" si="253">1/(1+EXP(-M111))</f>
        <v>7.3681550841338525E-2</v>
      </c>
      <c r="P111" s="1" cm="1">
        <f t="array" ref="P111">INDEX(H:H, 14 + INT((ROW()-14)/8)*8)*N111
+ INDEX(I:I, 14 + INT((ROW()-14)/8)*8)*O111
+ INDEX(G:G, 14 + INT((ROW()-14)/8)*8)</f>
        <v>1.3910292263010759</v>
      </c>
      <c r="Q111" s="1">
        <f t="shared" ref="Q111:Q113" si="254">1/(1+EXP(-P111))</f>
        <v>0.80075650243454666</v>
      </c>
      <c r="R111" s="8">
        <f>($C$5-Q111)^2</f>
        <v>3.9697971322114813E-2</v>
      </c>
      <c r="S111" s="1">
        <f>2*(Q111-$C$5)</f>
        <v>-0.39848699513090668</v>
      </c>
      <c r="T111" s="1">
        <f t="shared" ref="T111:T113" si="255">Q111*(1-Q111)</f>
        <v>0.15954552624333854</v>
      </c>
      <c r="U111" s="1">
        <v>1</v>
      </c>
      <c r="V111" s="1">
        <f t="shared" ref="V111:V113" si="256">N111</f>
        <v>2.1891521855113616E-2</v>
      </c>
      <c r="W111" s="8">
        <f t="shared" ref="W111:W113" si="257">O111</f>
        <v>7.3681550841338525E-2</v>
      </c>
      <c r="X111" s="1">
        <f t="shared" ref="X111:X113" si="258">S111*T111*U111</f>
        <v>-6.3576817339287189E-2</v>
      </c>
      <c r="Y111" s="1">
        <f t="shared" ref="Y111:Y113" si="259">S111*T111*V111</f>
        <v>-1.3917932862615718E-3</v>
      </c>
      <c r="Z111" s="8">
        <f t="shared" ref="Z111:Z113" si="260">S111*T111*W111</f>
        <v>-4.6844384991151814E-3</v>
      </c>
      <c r="AA111" s="1">
        <f>2*(Q111-$C$5)</f>
        <v>-0.39848699513090668</v>
      </c>
      <c r="AB111" s="1" cm="1">
        <f t="array" ref="AB111">INDEX(H:H, 14 + INT((ROW()-14)/8)*8)</f>
        <v>-4.2952967863556264</v>
      </c>
      <c r="AC111" s="1" cm="1">
        <f t="array" ref="AC111">INDEX(I:I, 14 + INT((ROW()-14)/8)*8)</f>
        <v>-3.0917921263842598</v>
      </c>
      <c r="AD111" s="1">
        <f t="shared" ref="AD111:AD113" si="261">N111*(1-N111)</f>
        <v>2.1412283125980699E-2</v>
      </c>
      <c r="AE111" s="1">
        <f t="shared" ref="AE111:AE113" si="262" xml:space="preserve"> O111*(1-O111)</f>
        <v>6.825257990695377E-2</v>
      </c>
      <c r="AF111" s="1">
        <v>1</v>
      </c>
      <c r="AG111" s="1">
        <f t="shared" ref="AG111:AG113" si="263">J111</f>
        <v>0</v>
      </c>
      <c r="AH111" s="1">
        <f t="shared" ref="AH111:AH113" si="264">K111</f>
        <v>1</v>
      </c>
      <c r="AI111" s="1"/>
      <c r="AJ111" s="1"/>
      <c r="AK111" s="1">
        <v>1</v>
      </c>
      <c r="AL111" s="1">
        <f t="shared" ref="AL111:AL113" si="265">J111</f>
        <v>0</v>
      </c>
      <c r="AM111" s="8">
        <f t="shared" ref="AM111:AM113" si="266">K111</f>
        <v>1</v>
      </c>
      <c r="AN111" s="1">
        <f t="shared" ref="AN111:AN113" si="267">S111*T111*AB111*AD111*AF111</f>
        <v>5.847294094970098E-3</v>
      </c>
      <c r="AO111" s="1">
        <f t="shared" ref="AO111:AO113" si="268">S111*T111*AB111*AD111*AG111</f>
        <v>0</v>
      </c>
      <c r="AP111" s="1">
        <f t="shared" ref="AP111:AP113" si="269">S111*T111*AB111*AD111*AH111</f>
        <v>5.847294094970098E-3</v>
      </c>
      <c r="AQ111" s="1">
        <f t="shared" ref="AQ111:AQ113" si="270">S111*T111*AC111*AE111*AK111</f>
        <v>1.3416157320962359E-2</v>
      </c>
      <c r="AR111" s="1">
        <f t="shared" ref="AR111:AR113" si="271">S111*T111*AC111*AE111*AL111</f>
        <v>0</v>
      </c>
      <c r="AS111" s="8">
        <f t="shared" ref="AS111:AS113" si="272">S111*T111*AC111*AE111*AM111</f>
        <v>1.3416157320962359E-2</v>
      </c>
      <c r="AT111" s="1"/>
    </row>
    <row r="112" spans="1:4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3">
        <v>1</v>
      </c>
      <c r="K112" s="3">
        <v>0</v>
      </c>
      <c r="L112" s="1" cm="1">
        <f t="array" ref="L112">INDEX(B:B, 14 + INT((ROW()-14)/8)*8)*J112
+ INDEX(C:C, 14 + INT((ROW()-14)/8)*8)*K112
+ INDEX(A:A, 14 + INT((ROW()-14)/8)*8)</f>
        <v>-1.3408279228271454</v>
      </c>
      <c r="M112" s="1" cm="1">
        <f t="array" ref="M112">INDEX(E:E, 14 + INT((ROW()-14)/8)*8)*J112
+ INDEX(F:F, 14 + INT((ROW()-14)/8)*8)*K112
+ INDEX(D:D, 14 + INT((ROW()-14)/8)*8)</f>
        <v>-2.5658264968223397</v>
      </c>
      <c r="N112" s="1">
        <f t="shared" si="252"/>
        <v>0.20737393992374351</v>
      </c>
      <c r="O112" s="1">
        <f t="shared" si="253"/>
        <v>7.1370415683360208E-2</v>
      </c>
      <c r="P112" s="1" cm="1">
        <f t="array" ref="P112">INDEX(H:H, 14 + INT((ROW()-14)/8)*8)*N112
+ INDEX(I:I, 14 + INT((ROW()-14)/8)*8)*O112
+ INDEX(G:G, 14 + INT((ROW()-14)/8)*8)</f>
        <v>0.60147274152986641</v>
      </c>
      <c r="Q112" s="1">
        <f t="shared" si="254"/>
        <v>0.64599317395433231</v>
      </c>
      <c r="R112" s="8">
        <f>($C$6-Q112)^2</f>
        <v>0.12532083288692764</v>
      </c>
      <c r="S112" s="1">
        <f>2*(Q112-$C$6)</f>
        <v>-0.70801365209133538</v>
      </c>
      <c r="T112" s="1">
        <f t="shared" si="255"/>
        <v>0.22868599315874005</v>
      </c>
      <c r="U112" s="1">
        <v>1</v>
      </c>
      <c r="V112" s="1">
        <f t="shared" si="256"/>
        <v>0.20737393992374351</v>
      </c>
      <c r="W112" s="8">
        <f t="shared" si="257"/>
        <v>7.1370415683360208E-2</v>
      </c>
      <c r="X112" s="1">
        <f t="shared" si="258"/>
        <v>-0.16191280519845369</v>
      </c>
      <c r="Y112" s="1">
        <f t="shared" si="259"/>
        <v>-3.357649633810892E-2</v>
      </c>
      <c r="Z112" s="8">
        <f t="shared" si="260"/>
        <v>-1.1555784211472566E-2</v>
      </c>
      <c r="AA112" s="1">
        <f>2*(Q112-$C$6)</f>
        <v>-0.70801365209133538</v>
      </c>
      <c r="AB112" s="1" cm="1">
        <f t="array" ref="AB112">INDEX(H:H, 14 + INT((ROW()-14)/8)*8)</f>
        <v>-4.2952967863556264</v>
      </c>
      <c r="AC112" s="1" cm="1">
        <f t="array" ref="AC112">INDEX(I:I, 14 + INT((ROW()-14)/8)*8)</f>
        <v>-3.0917921263842598</v>
      </c>
      <c r="AD112" s="1">
        <f t="shared" si="261"/>
        <v>0.16436998896424712</v>
      </c>
      <c r="AE112" s="1">
        <f t="shared" si="262"/>
        <v>6.6276679448544581E-2</v>
      </c>
      <c r="AF112" s="1">
        <v>1</v>
      </c>
      <c r="AG112" s="1">
        <f t="shared" si="263"/>
        <v>1</v>
      </c>
      <c r="AH112" s="1">
        <f t="shared" si="264"/>
        <v>0</v>
      </c>
      <c r="AI112" s="1"/>
      <c r="AJ112" s="1"/>
      <c r="AK112" s="1">
        <v>1</v>
      </c>
      <c r="AL112" s="1">
        <f t="shared" si="265"/>
        <v>1</v>
      </c>
      <c r="AM112" s="8">
        <f t="shared" si="266"/>
        <v>0</v>
      </c>
      <c r="AN112" s="1">
        <f t="shared" si="267"/>
        <v>0.11431333634077023</v>
      </c>
      <c r="AO112" s="1">
        <f t="shared" si="268"/>
        <v>0.11431333634077023</v>
      </c>
      <c r="AP112" s="1">
        <f t="shared" si="269"/>
        <v>0</v>
      </c>
      <c r="AQ112" s="1">
        <f t="shared" si="270"/>
        <v>3.3178154529695386E-2</v>
      </c>
      <c r="AR112" s="1">
        <f t="shared" si="271"/>
        <v>3.3178154529695386E-2</v>
      </c>
      <c r="AS112" s="8">
        <f t="shared" si="272"/>
        <v>0</v>
      </c>
      <c r="AT112" s="1"/>
    </row>
    <row r="113" spans="1:4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3">
        <v>1</v>
      </c>
      <c r="K113" s="3">
        <v>1</v>
      </c>
      <c r="L113" s="1" cm="1">
        <f t="array" ref="L113">INDEX(B:B, 14 + INT((ROW()-14)/8)*8)*J113
+ INDEX(C:C, 14 + INT((ROW()-14)/8)*8)*K113
+ INDEX(A:A, 14 + INT((ROW()-14)/8)*8)</f>
        <v>0.55436120446407244</v>
      </c>
      <c r="M113" s="1" cm="1">
        <f t="array" ref="M113">INDEX(E:E, 14 + INT((ROW()-14)/8)*8)*J113
+ INDEX(F:F, 14 + INT((ROW()-14)/8)*8)*K113
+ INDEX(D:D, 14 + INT((ROW()-14)/8)*8)</f>
        <v>-7.7227290985284096</v>
      </c>
      <c r="N113" s="1">
        <f t="shared" si="252"/>
        <v>0.63514683060948396</v>
      </c>
      <c r="O113" s="1">
        <f t="shared" si="253"/>
        <v>4.4245506287260195E-4</v>
      </c>
      <c r="P113" s="1" cm="1">
        <f t="array" ref="P113">INDEX(H:H, 14 + INT((ROW()-14)/8)*8)*N113
+ INDEX(I:I, 14 + INT((ROW()-14)/8)*8)*O113
+ INDEX(G:G, 14 + INT((ROW()-14)/8)*8)</f>
        <v>-1.0166442709357351</v>
      </c>
      <c r="Q113" s="1">
        <f t="shared" si="254"/>
        <v>0.26568157107783469</v>
      </c>
      <c r="R113" s="8">
        <f>($C$7-Q113)^2</f>
        <v>7.0586697210386531E-2</v>
      </c>
      <c r="S113" s="1">
        <f>2*(Q113-$C$7)</f>
        <v>0.53136314215566938</v>
      </c>
      <c r="T113" s="1">
        <f t="shared" si="255"/>
        <v>0.19509487386744817</v>
      </c>
      <c r="U113" s="1">
        <v>1</v>
      </c>
      <c r="V113" s="1">
        <f t="shared" si="256"/>
        <v>0.63514683060948396</v>
      </c>
      <c r="W113" s="8">
        <f t="shared" si="257"/>
        <v>4.4245506287260195E-4</v>
      </c>
      <c r="X113" s="1">
        <f t="shared" si="258"/>
        <v>0.10366622519667125</v>
      </c>
      <c r="Y113" s="1">
        <f t="shared" si="259"/>
        <v>6.5843274374914773E-2</v>
      </c>
      <c r="Z113" s="8">
        <f t="shared" si="260"/>
        <v>4.5867646187158489E-5</v>
      </c>
      <c r="AA113" s="1">
        <f>2*(Q113-$C$7)</f>
        <v>0.53136314215566938</v>
      </c>
      <c r="AB113" s="1" cm="1">
        <f t="array" ref="AB113">INDEX(H:H, 14 + INT((ROW()-14)/8)*8)</f>
        <v>-4.2952967863556264</v>
      </c>
      <c r="AC113" s="1" cm="1">
        <f t="array" ref="AC113">INDEX(I:I, 14 + INT((ROW()-14)/8)*8)</f>
        <v>-3.0917921263842598</v>
      </c>
      <c r="AD113" s="1">
        <f t="shared" si="261"/>
        <v>0.23173533417621145</v>
      </c>
      <c r="AE113" s="1">
        <f t="shared" si="262"/>
        <v>4.4225929638994039E-4</v>
      </c>
      <c r="AF113" s="1">
        <v>1</v>
      </c>
      <c r="AG113" s="1">
        <f t="shared" si="263"/>
        <v>1</v>
      </c>
      <c r="AH113" s="1">
        <f t="shared" si="264"/>
        <v>1</v>
      </c>
      <c r="AI113" s="1"/>
      <c r="AJ113" s="1"/>
      <c r="AK113" s="1">
        <v>1</v>
      </c>
      <c r="AL113" s="1">
        <f t="shared" si="265"/>
        <v>1</v>
      </c>
      <c r="AM113" s="8">
        <f t="shared" si="266"/>
        <v>1</v>
      </c>
      <c r="AN113" s="1">
        <f t="shared" si="267"/>
        <v>-0.10318646165628904</v>
      </c>
      <c r="AO113" s="1">
        <f t="shared" si="268"/>
        <v>-0.10318646165628904</v>
      </c>
      <c r="AP113" s="1">
        <f t="shared" si="269"/>
        <v>-0.10318646165628904</v>
      </c>
      <c r="AQ113" s="1">
        <f t="shared" si="270"/>
        <v>-1.4175048135681799E-4</v>
      </c>
      <c r="AR113" s="1">
        <f t="shared" si="271"/>
        <v>-1.4175048135681799E-4</v>
      </c>
      <c r="AS113" s="8">
        <f t="shared" si="272"/>
        <v>-1.4175048135681799E-4</v>
      </c>
      <c r="AT113" s="1"/>
    </row>
    <row r="114" spans="1:4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46">
        <f>SUM(R110:R113)</f>
        <v>0.29047000057964001</v>
      </c>
      <c r="S114" s="1"/>
      <c r="T114" s="1"/>
      <c r="U114" s="1"/>
      <c r="V114" s="1"/>
      <c r="W114" s="1"/>
      <c r="X114" s="1">
        <f>AVERAGE(X110:X113)</f>
        <v>-9.449102787412688E-3</v>
      </c>
      <c r="Y114" s="1">
        <f>AVERAGE(Y110:Y113)</f>
        <v>7.7891699390834641E-3</v>
      </c>
      <c r="Z114" s="1">
        <f>AVERAGE(Z110:Z113)</f>
        <v>1.5539799601237584E-2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>
        <f>AVERAGE(AN110:AN113)</f>
        <v>3.942065362699379E-3</v>
      </c>
      <c r="AO114" s="1">
        <f>AVERAGE(AO110:AO113)</f>
        <v>2.7817186711202972E-3</v>
      </c>
      <c r="AP114" s="1">
        <f xml:space="preserve"> AVERAGE(AP110:AP113)</f>
        <v>-2.4334791890329735E-2</v>
      </c>
      <c r="AQ114" s="1">
        <f>AVERAGE(AQ110:AQ113)</f>
        <v>7.5239614058390898E-3</v>
      </c>
      <c r="AR114" s="1">
        <f>AVERAGE(AR110:AR113)</f>
        <v>8.2591010120846419E-3</v>
      </c>
      <c r="AS114" s="1">
        <f>AVERAGE(AS110:AS113)</f>
        <v>3.3186017099013851E-3</v>
      </c>
      <c r="AT114" s="1"/>
    </row>
    <row r="115" spans="1:4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6" ht="15" thickBot="1" x14ac:dyDescent="0.35">
      <c r="A116" s="1" t="s">
        <v>38</v>
      </c>
      <c r="B116" s="1">
        <v>13</v>
      </c>
      <c r="C116" s="1"/>
      <c r="D116" s="1"/>
      <c r="E116" s="1"/>
      <c r="F116" s="1"/>
      <c r="G116" s="1"/>
      <c r="H116" s="1"/>
      <c r="I116" s="1"/>
      <c r="J116" s="30" t="s">
        <v>7</v>
      </c>
      <c r="K116" s="31"/>
      <c r="L116" s="30" t="s">
        <v>8</v>
      </c>
      <c r="M116" s="31"/>
      <c r="N116" s="30" t="s">
        <v>9</v>
      </c>
      <c r="O116" s="31"/>
      <c r="P116" s="1"/>
      <c r="Q116" s="9" t="s">
        <v>10</v>
      </c>
      <c r="R116" s="10" t="s">
        <v>11</v>
      </c>
      <c r="S116" s="1"/>
      <c r="T116" s="11"/>
      <c r="U116" s="23" t="s">
        <v>13</v>
      </c>
      <c r="V116" s="24"/>
      <c r="W116" s="26"/>
      <c r="X116" s="32" t="s">
        <v>12</v>
      </c>
      <c r="Y116" s="33"/>
      <c r="Z116" s="34"/>
      <c r="AA116" s="35"/>
      <c r="AB116" s="25"/>
      <c r="AC116" s="21"/>
      <c r="AD116" s="22"/>
      <c r="AE116" s="11"/>
      <c r="AF116" s="11"/>
      <c r="AG116" s="23" t="s">
        <v>44</v>
      </c>
      <c r="AH116" s="24"/>
      <c r="AI116" s="25"/>
      <c r="AJ116" s="17"/>
      <c r="AK116" s="17"/>
      <c r="AL116" s="23" t="s">
        <v>45</v>
      </c>
      <c r="AM116" s="24"/>
      <c r="AN116" s="26"/>
      <c r="AO116" s="27" t="s">
        <v>12</v>
      </c>
      <c r="AP116" s="28"/>
      <c r="AQ116" s="28"/>
      <c r="AR116" s="28"/>
      <c r="AS116" s="28"/>
      <c r="AT116" s="29"/>
    </row>
    <row r="117" spans="1:46" ht="15" thickBot="1" x14ac:dyDescent="0.35">
      <c r="A117" s="12" t="s">
        <v>14</v>
      </c>
      <c r="B117" s="12" t="s">
        <v>15</v>
      </c>
      <c r="C117" s="12" t="s">
        <v>16</v>
      </c>
      <c r="D117" s="12" t="s">
        <v>17</v>
      </c>
      <c r="E117" s="12" t="s">
        <v>18</v>
      </c>
      <c r="F117" s="12" t="s">
        <v>19</v>
      </c>
      <c r="G117" s="12" t="s">
        <v>20</v>
      </c>
      <c r="H117" s="12" t="s">
        <v>21</v>
      </c>
      <c r="I117" s="12" t="s">
        <v>22</v>
      </c>
      <c r="J117" s="12" t="s">
        <v>23</v>
      </c>
      <c r="K117" s="12" t="s">
        <v>24</v>
      </c>
      <c r="L117" s="12" t="s">
        <v>39</v>
      </c>
      <c r="M117" s="12" t="s">
        <v>40</v>
      </c>
      <c r="N117" s="12" t="s">
        <v>41</v>
      </c>
      <c r="O117" s="12" t="s">
        <v>42</v>
      </c>
      <c r="P117" s="12" t="s">
        <v>25</v>
      </c>
      <c r="Q117" s="12" t="s">
        <v>26</v>
      </c>
      <c r="R117" s="13" t="s">
        <v>27</v>
      </c>
      <c r="S117" s="12" t="s">
        <v>43</v>
      </c>
      <c r="T117" s="12" t="s">
        <v>31</v>
      </c>
      <c r="U117" s="12" t="s">
        <v>28</v>
      </c>
      <c r="V117" s="12" t="s">
        <v>29</v>
      </c>
      <c r="W117" s="13" t="s">
        <v>30</v>
      </c>
      <c r="X117" s="12" t="s">
        <v>28</v>
      </c>
      <c r="Y117" s="12" t="s">
        <v>29</v>
      </c>
      <c r="Z117" s="13" t="s">
        <v>30</v>
      </c>
      <c r="AA117" s="12" t="s">
        <v>50</v>
      </c>
      <c r="AB117" s="12" t="s">
        <v>48</v>
      </c>
      <c r="AC117" s="12" t="s">
        <v>49</v>
      </c>
      <c r="AD117" s="12" t="s">
        <v>46</v>
      </c>
      <c r="AE117" s="12" t="s">
        <v>47</v>
      </c>
      <c r="AF117" s="12" t="s">
        <v>32</v>
      </c>
      <c r="AG117" s="12" t="s">
        <v>33</v>
      </c>
      <c r="AH117" s="12" t="s">
        <v>34</v>
      </c>
      <c r="AI117" s="12"/>
      <c r="AJ117" s="12"/>
      <c r="AK117" s="12" t="s">
        <v>35</v>
      </c>
      <c r="AL117" s="12" t="s">
        <v>36</v>
      </c>
      <c r="AM117" s="13" t="s">
        <v>37</v>
      </c>
      <c r="AN117" s="12" t="s">
        <v>32</v>
      </c>
      <c r="AO117" s="12" t="s">
        <v>33</v>
      </c>
      <c r="AP117" s="12" t="s">
        <v>34</v>
      </c>
      <c r="AQ117" s="12" t="s">
        <v>35</v>
      </c>
      <c r="AR117" s="12" t="s">
        <v>36</v>
      </c>
      <c r="AS117" s="13" t="s">
        <v>37</v>
      </c>
      <c r="AT117" s="1"/>
    </row>
    <row r="118" spans="1:46" ht="15" thickBot="1" x14ac:dyDescent="0.35">
      <c r="A118" s="3" cm="1">
        <f t="array" ref="A118">INDEX(A:A, 14 + INT((ROW()-18)/8)*8)
 - $C$9 *
 INDEX(AN:AN, 18 + INT((ROW()-18)/8)*8)</f>
        <v>-5.7144206043722612</v>
      </c>
      <c r="B118" s="3" cm="1">
        <f t="array" ref="B118">INDEX(B:B, 14 + INT((ROW()-18)/8)*8)
 - $C$9 *
 INDEX(AO:AO, 18 + INT((ROW()-18)/8)*8)</f>
        <v>4.339973761376017</v>
      </c>
      <c r="C118" s="3" cm="1">
        <f t="array" ref="C118">INDEX(C:C, 14 + INT((ROW()-18)/8)*8)
 - $C$9 *
 INDEX(AP:AP, 18 + INT((ROW()-18)/8)*8)</f>
        <v>2.016863086742867</v>
      </c>
      <c r="D118" s="3" cm="1">
        <f t="array" ref="D118">INDEX(D:D, 14 + INT((ROW()-18)/8)*8)
 - $C$9 *
 INDEX(AQ:AQ, 18 + INT((ROW()-18)/8)*8)</f>
        <v>2.5878171616311194</v>
      </c>
      <c r="E118" s="3" cm="1">
        <f t="array" ref="E118">INDEX(E:E, 14 + INT((ROW()-18)/8)*8)
 - $C$9 *
 INDEX(AR:AR, 18 + INT((ROW()-18)/8)*8)</f>
        <v>-5.2325589705430779</v>
      </c>
      <c r="F118" s="3" cm="1">
        <f t="array" ref="F118">INDEX(F:F, 14 + INT((ROW()-18)/8)*8)
 - $C$9 *
 INDEX(AS:AS, 18 + INT((ROW()-18)/8)*8)</f>
        <v>-5.1734956102555785</v>
      </c>
      <c r="G118" s="3" cm="1">
        <f t="array" ref="G118">INDEX(G:G, 14 + INT((ROW()-18)/8)*8)
 - $C$9 *
 INDEX(X:X, 18 + INT((ROW()-18)/8)*8)</f>
        <v>1.7601133624618748</v>
      </c>
      <c r="H118" s="3" cm="1">
        <f t="array" ref="H118">INDEX(H:H, 14 + INT((ROW()-18)/8)*8)
 - $C$9 *
 INDEX(Y:Y, 18 + INT((ROW()-18)/8)*8)</f>
        <v>-4.3342426360510435</v>
      </c>
      <c r="I118" s="3" cm="1">
        <f t="array" ref="I118">INDEX(I:I, 14 + INT((ROW()-18)/8)*8)
 - $C$9 *
 INDEX(Z:Z, 18 + INT((ROW()-18)/8)*8)</f>
        <v>-3.1694911243904476</v>
      </c>
      <c r="J118" s="3">
        <v>0</v>
      </c>
      <c r="K118" s="3">
        <v>0</v>
      </c>
      <c r="L118" s="1" cm="1">
        <f t="array" ref="L118">INDEX(B:B, 14 + INT((ROW()-14)/8)*8)*J118
+ INDEX(C:C, 14 + INT((ROW()-14)/8)*8)*K118
+ INDEX(A:A, 14 + INT((ROW()-14)/8)*8)</f>
        <v>-5.7144206043722612</v>
      </c>
      <c r="M118" s="1" cm="1">
        <f t="array" ref="M118">INDEX(E:E, 14 + INT((ROW()-14)/8)*8)*J118
+ INDEX(F:F, 14 + INT((ROW()-14)/8)*8)*K118
+ INDEX(D:D, 14 + INT((ROW()-14)/8)*8)</f>
        <v>2.5878171616311194</v>
      </c>
      <c r="N118" s="1">
        <f>1/(1+EXP(-L118))</f>
        <v>3.2872194006083291E-3</v>
      </c>
      <c r="O118" s="1">
        <f>1/(1+EXP(-M118))</f>
        <v>0.93007338532457118</v>
      </c>
      <c r="P118" s="1" cm="1">
        <f t="array" ref="P118">INDEX(H:H, 14 + INT((ROW()-14)/8)*8)*N118
+ INDEX(I:I, 14 + INT((ROW()-14)/8)*8)*O118
+ INDEX(G:G, 14 + INT((ROW()-14)/8)*8)</f>
        <v>-1.2019935838363009</v>
      </c>
      <c r="Q118" s="1">
        <f>1/(1+EXP(-P118))</f>
        <v>0.2311207588875499</v>
      </c>
      <c r="R118" s="8">
        <f>($C$4-Q118)^2</f>
        <v>5.341680518875698E-2</v>
      </c>
      <c r="S118" s="1">
        <f>2*(Q118-$C$4)</f>
        <v>0.46224151777509981</v>
      </c>
      <c r="T118" s="1">
        <f>Q118*(1-Q118)</f>
        <v>0.17770395369879294</v>
      </c>
      <c r="U118" s="1">
        <v>1</v>
      </c>
      <c r="V118" s="1">
        <f>N118</f>
        <v>3.2872194006083291E-3</v>
      </c>
      <c r="W118" s="8">
        <f>O118</f>
        <v>0.93007338532457118</v>
      </c>
      <c r="X118" s="1">
        <f>S118*T118*U118</f>
        <v>8.2142145272366116E-2</v>
      </c>
      <c r="Y118" s="1">
        <f>S118*T118*V118</f>
        <v>2.7001925354690963E-4</v>
      </c>
      <c r="Z118" s="8">
        <f>S118*T118*W118</f>
        <v>7.639822313129227E-2</v>
      </c>
      <c r="AA118" s="1">
        <f>2*(Q118-$C$4)</f>
        <v>0.46224151777509981</v>
      </c>
      <c r="AB118" s="1" cm="1">
        <f t="array" ref="AB118">INDEX(H:H, 14 + INT((ROW()-14)/8)*8)</f>
        <v>-4.3342426360510435</v>
      </c>
      <c r="AC118" s="1" cm="1">
        <f t="array" ref="AC118">INDEX(I:I, 14 + INT((ROW()-14)/8)*8)</f>
        <v>-3.1694911243904476</v>
      </c>
      <c r="AD118" s="1">
        <f>N118*(1-N118)</f>
        <v>3.2764135892205935E-3</v>
      </c>
      <c r="AE118" s="1">
        <f xml:space="preserve"> O118*(1-O118)</f>
        <v>6.5036883235462931E-2</v>
      </c>
      <c r="AF118" s="1">
        <v>1</v>
      </c>
      <c r="AG118" s="1">
        <f>J118</f>
        <v>0</v>
      </c>
      <c r="AH118" s="1">
        <f>K118</f>
        <v>0</v>
      </c>
      <c r="AI118" s="1"/>
      <c r="AJ118" s="1"/>
      <c r="AK118" s="1">
        <v>1</v>
      </c>
      <c r="AL118" s="1">
        <f>J118</f>
        <v>0</v>
      </c>
      <c r="AM118" s="8">
        <f>K118</f>
        <v>0</v>
      </c>
      <c r="AN118" s="1">
        <f>S118*T118*AB118*AD118*AF118</f>
        <v>-1.166481833211087E-3</v>
      </c>
      <c r="AO118" s="1">
        <f>S118*T118*AB118*AD118*AG118</f>
        <v>0</v>
      </c>
      <c r="AP118" s="1">
        <f>S118*T118*AB118*AD118*AH118</f>
        <v>0</v>
      </c>
      <c r="AQ118" s="1">
        <f>S118*T118*AC118*AE118*AK118</f>
        <v>-1.693227453075196E-2</v>
      </c>
      <c r="AR118" s="1">
        <f>S118*T118*AC118*AE118*AL118</f>
        <v>0</v>
      </c>
      <c r="AS118" s="8">
        <f>S118*T118*AC118*AE118*AM118</f>
        <v>0</v>
      </c>
      <c r="AT118" s="1"/>
    </row>
    <row r="119" spans="1:4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3">
        <v>0</v>
      </c>
      <c r="K119" s="3">
        <v>1</v>
      </c>
      <c r="L119" s="1" cm="1">
        <f t="array" ref="L119">INDEX(B:B, 14 + INT((ROW()-14)/8)*8)*J119
+ INDEX(C:C, 14 + INT((ROW()-14)/8)*8)*K119
+ INDEX(A:A, 14 + INT((ROW()-14)/8)*8)</f>
        <v>-3.6975575176293942</v>
      </c>
      <c r="M119" s="1" cm="1">
        <f t="array" ref="M119">INDEX(E:E, 14 + INT((ROW()-14)/8)*8)*J119
+ INDEX(F:F, 14 + INT((ROW()-14)/8)*8)*K119
+ INDEX(D:D, 14 + INT((ROW()-14)/8)*8)</f>
        <v>-2.5856784486244591</v>
      </c>
      <c r="N119" s="1">
        <f t="shared" ref="N119:N121" si="273">1/(1+EXP(-L119))</f>
        <v>2.4184596332354466E-2</v>
      </c>
      <c r="O119" s="1">
        <f t="shared" ref="O119:O121" si="274">1/(1+EXP(-M119))</f>
        <v>7.0065837908471859E-2</v>
      </c>
      <c r="P119" s="1" cm="1">
        <f t="array" ref="P119">INDEX(H:H, 14 + INT((ROW()-14)/8)*8)*N119
+ INDEX(I:I, 14 + INT((ROW()-14)/8)*8)*O119
+ INDEX(G:G, 14 + INT((ROW()-14)/8)*8)</f>
        <v>1.433218402528619</v>
      </c>
      <c r="Q119" s="1">
        <f t="shared" ref="Q119:Q121" si="275">1/(1+EXP(-P119))</f>
        <v>0.80740228490184984</v>
      </c>
      <c r="R119" s="8">
        <f>($C$5-Q119)^2</f>
        <v>3.7093879861028217E-2</v>
      </c>
      <c r="S119" s="1">
        <f>2*(Q119-$C$5)</f>
        <v>-0.38519543019630031</v>
      </c>
      <c r="T119" s="1">
        <f t="shared" ref="T119:T121" si="276">Q119*(1-Q119)</f>
        <v>0.15550383523712194</v>
      </c>
      <c r="U119" s="1">
        <v>1</v>
      </c>
      <c r="V119" s="1">
        <f t="shared" ref="V119:V121" si="277">N119</f>
        <v>2.4184596332354466E-2</v>
      </c>
      <c r="W119" s="8">
        <f t="shared" ref="W119:W121" si="278">O119</f>
        <v>7.0065837908471859E-2</v>
      </c>
      <c r="X119" s="1">
        <f t="shared" ref="X119:X121" si="279">S119*T119*U119</f>
        <v>-5.989936671133779E-2</v>
      </c>
      <c r="Y119" s="1">
        <f t="shared" ref="Y119:Y121" si="280">S119*T119*V119</f>
        <v>-1.4486420044773751E-3</v>
      </c>
      <c r="Z119" s="8">
        <f t="shared" ref="Z119:Z121" si="281">S119*T119*W119</f>
        <v>-4.1968993188167087E-3</v>
      </c>
      <c r="AA119" s="1">
        <f>2*(Q119-$C$5)</f>
        <v>-0.38519543019630031</v>
      </c>
      <c r="AB119" s="1" cm="1">
        <f t="array" ref="AB119">INDEX(H:H, 14 + INT((ROW()-14)/8)*8)</f>
        <v>-4.3342426360510435</v>
      </c>
      <c r="AC119" s="1" cm="1">
        <f t="array" ref="AC119">INDEX(I:I, 14 + INT((ROW()-14)/8)*8)</f>
        <v>-3.1694911243904476</v>
      </c>
      <c r="AD119" s="1">
        <f t="shared" ref="AD119:AD121" si="282">N119*(1-N119)</f>
        <v>2.3599701632595532E-2</v>
      </c>
      <c r="AE119" s="1">
        <f t="shared" ref="AE119:AE121" si="283" xml:space="preserve"> O119*(1-O119)</f>
        <v>6.5156616266655601E-2</v>
      </c>
      <c r="AF119" s="1">
        <v>1</v>
      </c>
      <c r="AG119" s="1">
        <f t="shared" ref="AG119:AG121" si="284">J119</f>
        <v>0</v>
      </c>
      <c r="AH119" s="1">
        <f t="shared" ref="AH119:AH121" si="285">K119</f>
        <v>1</v>
      </c>
      <c r="AI119" s="1"/>
      <c r="AJ119" s="1"/>
      <c r="AK119" s="1">
        <v>1</v>
      </c>
      <c r="AL119" s="1">
        <f t="shared" ref="AL119:AL121" si="286">J119</f>
        <v>0</v>
      </c>
      <c r="AM119" s="8">
        <f t="shared" ref="AM119:AM121" si="287">K119</f>
        <v>1</v>
      </c>
      <c r="AN119" s="1">
        <f t="shared" ref="AN119:AN121" si="288">S119*T119*AB119*AD119*AF119</f>
        <v>6.1269165204516892E-3</v>
      </c>
      <c r="AO119" s="1">
        <f t="shared" ref="AO119:AO121" si="289">S119*T119*AB119*AD119*AG119</f>
        <v>0</v>
      </c>
      <c r="AP119" s="1">
        <f t="shared" ref="AP119:AP121" si="290">S119*T119*AB119*AD119*AH119</f>
        <v>6.1269165204516892E-3</v>
      </c>
      <c r="AQ119" s="1">
        <f t="shared" ref="AQ119:AQ121" si="291">S119*T119*AC119*AE119*AK119</f>
        <v>1.2370016902911282E-2</v>
      </c>
      <c r="AR119" s="1">
        <f t="shared" ref="AR119:AR121" si="292">S119*T119*AC119*AE119*AL119</f>
        <v>0</v>
      </c>
      <c r="AS119" s="8">
        <f t="shared" ref="AS119:AS121" si="293">S119*T119*AC119*AE119*AM119</f>
        <v>1.2370016902911282E-2</v>
      </c>
      <c r="AT119" s="1"/>
    </row>
    <row r="120" spans="1:4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3">
        <v>1</v>
      </c>
      <c r="K120" s="3">
        <v>0</v>
      </c>
      <c r="L120" s="1" cm="1">
        <f t="array" ref="L120">INDEX(B:B, 14 + INT((ROW()-14)/8)*8)*J120
+ INDEX(C:C, 14 + INT((ROW()-14)/8)*8)*K120
+ INDEX(A:A, 14 + INT((ROW()-14)/8)*8)</f>
        <v>-1.3744468429962442</v>
      </c>
      <c r="M120" s="1" cm="1">
        <f t="array" ref="M120">INDEX(E:E, 14 + INT((ROW()-14)/8)*8)*J120
+ INDEX(F:F, 14 + INT((ROW()-14)/8)*8)*K120
+ INDEX(D:D, 14 + INT((ROW()-14)/8)*8)</f>
        <v>-2.6447418089119585</v>
      </c>
      <c r="N120" s="1">
        <f t="shared" si="273"/>
        <v>0.20190234205779239</v>
      </c>
      <c r="O120" s="1">
        <f t="shared" si="274"/>
        <v>6.6313835801966647E-2</v>
      </c>
      <c r="P120" s="1" cm="1">
        <f t="array" ref="P120">INDEX(H:H, 14 + INT((ROW()-14)/8)*8)*N120
+ INDEX(I:I, 14 + INT((ROW()-14)/8)*8)*O120
+ INDEX(G:G, 14 + INT((ROW()-14)/8)*8)</f>
        <v>0.67483850919781041</v>
      </c>
      <c r="Q120" s="1">
        <f t="shared" si="275"/>
        <v>0.66258573428493883</v>
      </c>
      <c r="R120" s="8">
        <f>($C$6-Q120)^2</f>
        <v>0.11384838670803391</v>
      </c>
      <c r="S120" s="1">
        <f>2*(Q120-$C$6)</f>
        <v>-0.67482853143012234</v>
      </c>
      <c r="T120" s="1">
        <f t="shared" si="276"/>
        <v>0.22356587900702726</v>
      </c>
      <c r="U120" s="1">
        <v>1</v>
      </c>
      <c r="V120" s="1">
        <f t="shared" si="277"/>
        <v>0.20190234205779239</v>
      </c>
      <c r="W120" s="8">
        <f t="shared" si="278"/>
        <v>6.6313835801966647E-2</v>
      </c>
      <c r="X120" s="1">
        <f t="shared" si="279"/>
        <v>-0.15086863380819662</v>
      </c>
      <c r="Y120" s="1">
        <f t="shared" si="280"/>
        <v>-3.0460730508934337E-2</v>
      </c>
      <c r="Z120" s="8">
        <f t="shared" si="281"/>
        <v>-1.0004677810023784E-2</v>
      </c>
      <c r="AA120" s="1">
        <f>2*(Q120-$C$6)</f>
        <v>-0.67482853143012234</v>
      </c>
      <c r="AB120" s="1" cm="1">
        <f t="array" ref="AB120">INDEX(H:H, 14 + INT((ROW()-14)/8)*8)</f>
        <v>-4.3342426360510435</v>
      </c>
      <c r="AC120" s="1" cm="1">
        <f t="array" ref="AC120">INDEX(I:I, 14 + INT((ROW()-14)/8)*8)</f>
        <v>-3.1694911243904476</v>
      </c>
      <c r="AD120" s="1">
        <f t="shared" si="282"/>
        <v>0.16113778632937059</v>
      </c>
      <c r="AE120" s="1">
        <f t="shared" si="283"/>
        <v>6.1916310983196457E-2</v>
      </c>
      <c r="AF120" s="1">
        <v>1</v>
      </c>
      <c r="AG120" s="1">
        <f t="shared" si="284"/>
        <v>1</v>
      </c>
      <c r="AH120" s="1">
        <f t="shared" si="285"/>
        <v>0</v>
      </c>
      <c r="AI120" s="1"/>
      <c r="AJ120" s="1"/>
      <c r="AK120" s="1">
        <v>1</v>
      </c>
      <c r="AL120" s="1">
        <f t="shared" si="286"/>
        <v>1</v>
      </c>
      <c r="AM120" s="8">
        <f t="shared" si="287"/>
        <v>0</v>
      </c>
      <c r="AN120" s="1">
        <f t="shared" si="288"/>
        <v>0.10536820233526362</v>
      </c>
      <c r="AO120" s="1">
        <f t="shared" si="289"/>
        <v>0.10536820233526362</v>
      </c>
      <c r="AP120" s="1">
        <f t="shared" si="290"/>
        <v>0</v>
      </c>
      <c r="AQ120" s="1">
        <f t="shared" si="291"/>
        <v>2.9606943193948389E-2</v>
      </c>
      <c r="AR120" s="1">
        <f t="shared" si="292"/>
        <v>2.9606943193948389E-2</v>
      </c>
      <c r="AS120" s="8">
        <f t="shared" si="293"/>
        <v>0</v>
      </c>
      <c r="AT120" s="1"/>
    </row>
    <row r="121" spans="1:4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3">
        <v>1</v>
      </c>
      <c r="K121" s="3">
        <v>1</v>
      </c>
      <c r="L121" s="1" cm="1">
        <f t="array" ref="L121">INDEX(B:B, 14 + INT((ROW()-14)/8)*8)*J121
+ INDEX(C:C, 14 + INT((ROW()-14)/8)*8)*K121
+ INDEX(A:A, 14 + INT((ROW()-14)/8)*8)</f>
        <v>0.64241624374662276</v>
      </c>
      <c r="M121" s="1" cm="1">
        <f t="array" ref="M121">INDEX(E:E, 14 + INT((ROW()-14)/8)*8)*J121
+ INDEX(F:F, 14 + INT((ROW()-14)/8)*8)*K121
+ INDEX(D:D, 14 + INT((ROW()-14)/8)*8)</f>
        <v>-7.818237419167537</v>
      </c>
      <c r="N121" s="1">
        <f t="shared" si="273"/>
        <v>0.6552994513832292</v>
      </c>
      <c r="O121" s="1">
        <f t="shared" si="274"/>
        <v>4.021683932181804E-4</v>
      </c>
      <c r="P121" s="1" cm="1">
        <f t="array" ref="P121">INDEX(H:H, 14 + INT((ROW()-14)/8)*8)*N121
+ INDEX(I:I, 14 + INT((ROW()-14)/8)*8)*O121
+ INDEX(G:G, 14 + INT((ROW()-14)/8)*8)</f>
        <v>-1.0813881282569904</v>
      </c>
      <c r="Q121" s="1">
        <f t="shared" si="275"/>
        <v>0.25324341617177071</v>
      </c>
      <c r="R121" s="8">
        <f>($C$7-Q121)^2</f>
        <v>6.413222783434866E-2</v>
      </c>
      <c r="S121" s="1">
        <f>2*(Q121-$C$7)</f>
        <v>0.50648683234354142</v>
      </c>
      <c r="T121" s="1">
        <f t="shared" si="276"/>
        <v>0.18911118833742205</v>
      </c>
      <c r="U121" s="1">
        <v>1</v>
      </c>
      <c r="V121" s="1">
        <f t="shared" si="277"/>
        <v>0.6552994513832292</v>
      </c>
      <c r="W121" s="8">
        <f t="shared" si="278"/>
        <v>4.021683932181804E-4</v>
      </c>
      <c r="X121" s="1">
        <f t="shared" si="279"/>
        <v>9.5782326741743765E-2</v>
      </c>
      <c r="Y121" s="1">
        <f t="shared" si="280"/>
        <v>6.2766106166073893E-2</v>
      </c>
      <c r="Z121" s="8">
        <f t="shared" si="281"/>
        <v>3.8520624444425845E-5</v>
      </c>
      <c r="AA121" s="1">
        <f>2*(Q121-$C$7)</f>
        <v>0.50648683234354142</v>
      </c>
      <c r="AB121" s="1" cm="1">
        <f t="array" ref="AB121">INDEX(H:H, 14 + INT((ROW()-14)/8)*8)</f>
        <v>-4.3342426360510435</v>
      </c>
      <c r="AC121" s="1" cm="1">
        <f t="array" ref="AC121">INDEX(I:I, 14 + INT((ROW()-14)/8)*8)</f>
        <v>-3.1694911243904476</v>
      </c>
      <c r="AD121" s="1">
        <f t="shared" si="282"/>
        <v>0.22588208040006802</v>
      </c>
      <c r="AE121" s="1">
        <f t="shared" si="283"/>
        <v>4.020066538016767E-4</v>
      </c>
      <c r="AF121" s="1">
        <v>1</v>
      </c>
      <c r="AG121" s="1">
        <f t="shared" si="284"/>
        <v>1</v>
      </c>
      <c r="AH121" s="1">
        <f t="shared" si="285"/>
        <v>1</v>
      </c>
      <c r="AI121" s="1"/>
      <c r="AJ121" s="1"/>
      <c r="AK121" s="1">
        <v>1</v>
      </c>
      <c r="AL121" s="1">
        <f t="shared" si="286"/>
        <v>1</v>
      </c>
      <c r="AM121" s="8">
        <f t="shared" si="287"/>
        <v>1</v>
      </c>
      <c r="AN121" s="1">
        <f t="shared" si="288"/>
        <v>-9.3773555225758462E-2</v>
      </c>
      <c r="AO121" s="1">
        <f t="shared" si="289"/>
        <v>-9.3773555225758462E-2</v>
      </c>
      <c r="AP121" s="1">
        <f t="shared" si="290"/>
        <v>-9.3773555225758462E-2</v>
      </c>
      <c r="AQ121" s="1">
        <f t="shared" si="291"/>
        <v>-1.2204167623085891E-4</v>
      </c>
      <c r="AR121" s="1">
        <f t="shared" si="292"/>
        <v>-1.2204167623085891E-4</v>
      </c>
      <c r="AS121" s="8">
        <f t="shared" si="293"/>
        <v>-1.2204167623085891E-4</v>
      </c>
      <c r="AT121" s="1"/>
    </row>
    <row r="122" spans="1:4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46">
        <f>SUM(R118:R121)</f>
        <v>0.26849129959216778</v>
      </c>
      <c r="S122" s="1"/>
      <c r="T122" s="1"/>
      <c r="U122" s="1"/>
      <c r="V122" s="1"/>
      <c r="W122" s="1"/>
      <c r="X122" s="1">
        <f>AVERAGE(X118:X121)</f>
        <v>-8.2108821263561331E-3</v>
      </c>
      <c r="Y122" s="1">
        <f>AVERAGE(Y118:Y121)</f>
        <v>7.7816882265522719E-3</v>
      </c>
      <c r="Z122" s="1">
        <f>AVERAGE(Z118:Z121)</f>
        <v>1.5558791656724049E-2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>
        <f>AVERAGE(AN118:AN121)</f>
        <v>4.138770449186438E-3</v>
      </c>
      <c r="AO122" s="1">
        <f>AVERAGE(AO118:AO121)</f>
        <v>2.8986617773762886E-3</v>
      </c>
      <c r="AP122" s="1">
        <f xml:space="preserve"> AVERAGE(AP118:AP121)</f>
        <v>-2.1911659676326693E-2</v>
      </c>
      <c r="AQ122" s="1">
        <f>AVERAGE(AQ118:AQ121)</f>
        <v>6.2306609724692126E-3</v>
      </c>
      <c r="AR122" s="1">
        <f>AVERAGE(AR118:AR121)</f>
        <v>7.3712253794293824E-3</v>
      </c>
      <c r="AS122" s="1">
        <f>AVERAGE(AS118:AS121)</f>
        <v>3.0619938066701055E-3</v>
      </c>
      <c r="AT122" s="1"/>
    </row>
    <row r="123" spans="1:4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4"/>
      <c r="S123" s="1"/>
      <c r="T123" s="1"/>
      <c r="U123" s="1"/>
      <c r="V123" s="1"/>
      <c r="W123" s="8"/>
      <c r="X123" s="15"/>
      <c r="Y123" s="15"/>
      <c r="Z123" s="14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8"/>
      <c r="AM123" s="15"/>
      <c r="AN123" s="15"/>
      <c r="AO123" s="15"/>
      <c r="AP123" s="15"/>
      <c r="AQ123" s="15"/>
      <c r="AR123" s="14"/>
      <c r="AS123" s="1"/>
    </row>
    <row r="124" spans="1:46" ht="15" thickBot="1" x14ac:dyDescent="0.35">
      <c r="A124" s="1" t="s">
        <v>38</v>
      </c>
      <c r="B124" s="1">
        <v>14</v>
      </c>
      <c r="C124" s="1"/>
      <c r="D124" s="1"/>
      <c r="E124" s="1"/>
      <c r="F124" s="1"/>
      <c r="G124" s="1"/>
      <c r="H124" s="1"/>
      <c r="I124" s="1"/>
      <c r="J124" s="30" t="s">
        <v>7</v>
      </c>
      <c r="K124" s="31"/>
      <c r="L124" s="30" t="s">
        <v>8</v>
      </c>
      <c r="M124" s="31"/>
      <c r="N124" s="30" t="s">
        <v>9</v>
      </c>
      <c r="O124" s="31"/>
      <c r="P124" s="1"/>
      <c r="Q124" s="9" t="s">
        <v>10</v>
      </c>
      <c r="R124" s="10" t="s">
        <v>11</v>
      </c>
      <c r="S124" s="1"/>
      <c r="T124" s="11"/>
      <c r="U124" s="23" t="s">
        <v>13</v>
      </c>
      <c r="V124" s="24"/>
      <c r="W124" s="26"/>
      <c r="X124" s="32" t="s">
        <v>12</v>
      </c>
      <c r="Y124" s="33"/>
      <c r="Z124" s="34"/>
      <c r="AA124" s="35"/>
      <c r="AB124" s="25"/>
      <c r="AC124" s="21"/>
      <c r="AD124" s="22"/>
      <c r="AE124" s="11"/>
      <c r="AF124" s="11"/>
      <c r="AG124" s="23" t="s">
        <v>44</v>
      </c>
      <c r="AH124" s="24"/>
      <c r="AI124" s="25"/>
      <c r="AJ124" s="17"/>
      <c r="AK124" s="17"/>
      <c r="AL124" s="23" t="s">
        <v>45</v>
      </c>
      <c r="AM124" s="24"/>
      <c r="AN124" s="26"/>
      <c r="AO124" s="27" t="s">
        <v>12</v>
      </c>
      <c r="AP124" s="28"/>
      <c r="AQ124" s="28"/>
      <c r="AR124" s="28"/>
      <c r="AS124" s="28"/>
      <c r="AT124" s="29"/>
    </row>
    <row r="125" spans="1:46" ht="15" thickBot="1" x14ac:dyDescent="0.35">
      <c r="A125" s="12" t="s">
        <v>14</v>
      </c>
      <c r="B125" s="12" t="s">
        <v>15</v>
      </c>
      <c r="C125" s="12" t="s">
        <v>16</v>
      </c>
      <c r="D125" s="12" t="s">
        <v>17</v>
      </c>
      <c r="E125" s="12" t="s">
        <v>18</v>
      </c>
      <c r="F125" s="12" t="s">
        <v>19</v>
      </c>
      <c r="G125" s="12" t="s">
        <v>20</v>
      </c>
      <c r="H125" s="12" t="s">
        <v>21</v>
      </c>
      <c r="I125" s="12" t="s">
        <v>22</v>
      </c>
      <c r="J125" s="12" t="s">
        <v>23</v>
      </c>
      <c r="K125" s="12" t="s">
        <v>24</v>
      </c>
      <c r="L125" s="12" t="s">
        <v>39</v>
      </c>
      <c r="M125" s="12" t="s">
        <v>40</v>
      </c>
      <c r="N125" s="12" t="s">
        <v>41</v>
      </c>
      <c r="O125" s="12" t="s">
        <v>42</v>
      </c>
      <c r="P125" s="12" t="s">
        <v>25</v>
      </c>
      <c r="Q125" s="12" t="s">
        <v>26</v>
      </c>
      <c r="R125" s="13" t="s">
        <v>27</v>
      </c>
      <c r="S125" s="12" t="s">
        <v>43</v>
      </c>
      <c r="T125" s="12" t="s">
        <v>31</v>
      </c>
      <c r="U125" s="12" t="s">
        <v>28</v>
      </c>
      <c r="V125" s="12" t="s">
        <v>29</v>
      </c>
      <c r="W125" s="13" t="s">
        <v>30</v>
      </c>
      <c r="X125" s="12" t="s">
        <v>28</v>
      </c>
      <c r="Y125" s="12" t="s">
        <v>29</v>
      </c>
      <c r="Z125" s="13" t="s">
        <v>30</v>
      </c>
      <c r="AA125" s="12" t="s">
        <v>50</v>
      </c>
      <c r="AB125" s="12" t="s">
        <v>48</v>
      </c>
      <c r="AC125" s="12" t="s">
        <v>49</v>
      </c>
      <c r="AD125" s="12" t="s">
        <v>46</v>
      </c>
      <c r="AE125" s="12" t="s">
        <v>47</v>
      </c>
      <c r="AF125" s="12" t="s">
        <v>32</v>
      </c>
      <c r="AG125" s="12" t="s">
        <v>33</v>
      </c>
      <c r="AH125" s="12" t="s">
        <v>34</v>
      </c>
      <c r="AI125" s="12"/>
      <c r="AJ125" s="12"/>
      <c r="AK125" s="12" t="s">
        <v>35</v>
      </c>
      <c r="AL125" s="12" t="s">
        <v>36</v>
      </c>
      <c r="AM125" s="13" t="s">
        <v>37</v>
      </c>
      <c r="AN125" s="12" t="s">
        <v>32</v>
      </c>
      <c r="AO125" s="12" t="s">
        <v>33</v>
      </c>
      <c r="AP125" s="12" t="s">
        <v>34</v>
      </c>
      <c r="AQ125" s="12" t="s">
        <v>35</v>
      </c>
      <c r="AR125" s="12" t="s">
        <v>36</v>
      </c>
      <c r="AS125" s="13" t="s">
        <v>37</v>
      </c>
      <c r="AT125" s="1"/>
    </row>
    <row r="126" spans="1:46" ht="15" thickBot="1" x14ac:dyDescent="0.35">
      <c r="A126" s="3" cm="1">
        <f t="array" ref="A126">INDEX(A:A, 14 + INT((ROW()-18)/8)*8)
 - $C$9 *
 INDEX(AN:AN, 18 + INT((ROW()-18)/8)*8)</f>
        <v>-5.7351144566181933</v>
      </c>
      <c r="B126" s="3" cm="1">
        <f t="array" ref="B126">INDEX(B:B, 14 + INT((ROW()-18)/8)*8)
 - $C$9 *
 INDEX(AO:AO, 18 + INT((ROW()-18)/8)*8)</f>
        <v>4.3254804524891357</v>
      </c>
      <c r="C126" s="3" cm="1">
        <f t="array" ref="C126">INDEX(C:C, 14 + INT((ROW()-18)/8)*8)
 - $C$9 *
 INDEX(AP:AP, 18 + INT((ROW()-18)/8)*8)</f>
        <v>2.1264213851245004</v>
      </c>
      <c r="D126" s="3" cm="1">
        <f t="array" ref="D126">INDEX(D:D, 14 + INT((ROW()-18)/8)*8)
 - $C$9 *
 INDEX(AQ:AQ, 18 + INT((ROW()-18)/8)*8)</f>
        <v>2.5566638567687732</v>
      </c>
      <c r="E126" s="3" cm="1">
        <f t="array" ref="E126">INDEX(E:E, 14 + INT((ROW()-18)/8)*8)
 - $C$9 *
 INDEX(AR:AR, 18 + INT((ROW()-18)/8)*8)</f>
        <v>-5.2694150974402252</v>
      </c>
      <c r="F126" s="3" cm="1">
        <f t="array" ref="F126">INDEX(F:F, 14 + INT((ROW()-18)/8)*8)
 - $C$9 *
 INDEX(AS:AS, 18 + INT((ROW()-18)/8)*8)</f>
        <v>-5.1888055792889292</v>
      </c>
      <c r="G126" s="3" cm="1">
        <f t="array" ref="G126">INDEX(G:G, 14 + INT((ROW()-18)/8)*8)
 - $C$9 *
 INDEX(X:X, 18 + INT((ROW()-18)/8)*8)</f>
        <v>1.8011677730936555</v>
      </c>
      <c r="H126" s="3" cm="1">
        <f t="array" ref="H126">INDEX(H:H, 14 + INT((ROW()-18)/8)*8)
 - $C$9 *
 INDEX(Y:Y, 18 + INT((ROW()-18)/8)*8)</f>
        <v>-4.3731510771838051</v>
      </c>
      <c r="I126" s="3" cm="1">
        <f t="array" ref="I126">INDEX(I:I, 14 + INT((ROW()-18)/8)*8)
 - $C$9 *
 INDEX(Z:Z, 18 + INT((ROW()-18)/8)*8)</f>
        <v>-3.2472850826740678</v>
      </c>
      <c r="J126" s="3">
        <v>0</v>
      </c>
      <c r="K126" s="3">
        <v>0</v>
      </c>
      <c r="L126" s="1" cm="1">
        <f t="array" ref="L126">INDEX(B:B, 14 + INT((ROW()-14)/8)*8)*J126
+ INDEX(C:C, 14 + INT((ROW()-14)/8)*8)*K126
+ INDEX(A:A, 14 + INT((ROW()-14)/8)*8)</f>
        <v>-5.7351144566181933</v>
      </c>
      <c r="M126" s="1" cm="1">
        <f t="array" ref="M126">INDEX(E:E, 14 + INT((ROW()-14)/8)*8)*J126
+ INDEX(F:F, 14 + INT((ROW()-14)/8)*8)*K126
+ INDEX(D:D, 14 + INT((ROW()-14)/8)*8)</f>
        <v>2.5566638567687732</v>
      </c>
      <c r="N126" s="1">
        <f>1/(1+EXP(-L126))</f>
        <v>3.2201099877689262E-3</v>
      </c>
      <c r="O126" s="1">
        <f>1/(1+EXP(-M126))</f>
        <v>0.92801992486067997</v>
      </c>
      <c r="P126" s="1" cm="1">
        <f t="array" ref="P126">INDEX(H:H, 14 + INT((ROW()-14)/8)*8)*N126
+ INDEX(I:I, 14 + INT((ROW()-14)/8)*8)*O126
+ INDEX(G:G, 14 + INT((ROW()-14)/8)*8)</f>
        <v>-1.2264595127924018</v>
      </c>
      <c r="Q126" s="1">
        <f>1/(1+EXP(-P126))</f>
        <v>0.22680169447047818</v>
      </c>
      <c r="R126" s="8">
        <f>($C$4-Q126)^2</f>
        <v>5.1439008614680135E-2</v>
      </c>
      <c r="S126" s="1">
        <f>2*(Q126-$C$4)</f>
        <v>0.45360338894095636</v>
      </c>
      <c r="T126" s="1">
        <f>Q126*(1-Q126)</f>
        <v>0.17536268585579806</v>
      </c>
      <c r="U126" s="1">
        <v>1</v>
      </c>
      <c r="V126" s="1">
        <f>N126</f>
        <v>3.2201099877689262E-3</v>
      </c>
      <c r="W126" s="8">
        <f>O126</f>
        <v>0.92801992486067997</v>
      </c>
      <c r="X126" s="1">
        <f>S126*T126*U126</f>
        <v>7.9545108597978309E-2</v>
      </c>
      <c r="Y126" s="1">
        <f>S126*T126*V126</f>
        <v>2.5614399867451382E-4</v>
      </c>
      <c r="Z126" s="8">
        <f>S126*T126*W126</f>
        <v>7.381944570413046E-2</v>
      </c>
      <c r="AA126" s="1">
        <f>2*(Q126-$C$4)</f>
        <v>0.45360338894095636</v>
      </c>
      <c r="AB126" s="1" cm="1">
        <f t="array" ref="AB126">INDEX(H:H, 14 + INT((ROW()-14)/8)*8)</f>
        <v>-4.3731510771838051</v>
      </c>
      <c r="AC126" s="1" cm="1">
        <f t="array" ref="AC126">INDEX(I:I, 14 + INT((ROW()-14)/8)*8)</f>
        <v>-3.2472850826740678</v>
      </c>
      <c r="AD126" s="1">
        <f>N126*(1-N126)</f>
        <v>3.2097408794355973E-3</v>
      </c>
      <c r="AE126" s="1">
        <f xml:space="preserve"> O126*(1-O126)</f>
        <v>6.6798943922257881E-2</v>
      </c>
      <c r="AF126" s="1">
        <v>1</v>
      </c>
      <c r="AG126" s="1">
        <f>J126</f>
        <v>0</v>
      </c>
      <c r="AH126" s="1">
        <f>K126</f>
        <v>0</v>
      </c>
      <c r="AI126" s="1"/>
      <c r="AJ126" s="1"/>
      <c r="AK126" s="1">
        <v>1</v>
      </c>
      <c r="AL126" s="1">
        <f>J126</f>
        <v>0</v>
      </c>
      <c r="AM126" s="8">
        <f>K126</f>
        <v>0</v>
      </c>
      <c r="AN126" s="1">
        <f>S126*T126*AB126*AD126*AF126</f>
        <v>-1.1165493768941429E-3</v>
      </c>
      <c r="AO126" s="1">
        <f>S126*T126*AB126*AD126*AG126</f>
        <v>0</v>
      </c>
      <c r="AP126" s="1">
        <f>S126*T126*AB126*AD126*AH126</f>
        <v>0</v>
      </c>
      <c r="AQ126" s="1">
        <f>S126*T126*AC126*AE126*AK126</f>
        <v>-1.7254544265091692E-2</v>
      </c>
      <c r="AR126" s="1">
        <f>S126*T126*AC126*AE126*AL126</f>
        <v>0</v>
      </c>
      <c r="AS126" s="8">
        <f>S126*T126*AC126*AE126*AM126</f>
        <v>0</v>
      </c>
      <c r="AT126" s="1"/>
    </row>
    <row r="127" spans="1:4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3">
        <v>0</v>
      </c>
      <c r="K127" s="3">
        <v>1</v>
      </c>
      <c r="L127" s="1" cm="1">
        <f t="array" ref="L127">INDEX(B:B, 14 + INT((ROW()-14)/8)*8)*J127
+ INDEX(C:C, 14 + INT((ROW()-14)/8)*8)*K127
+ INDEX(A:A, 14 + INT((ROW()-14)/8)*8)</f>
        <v>-3.6086930714936929</v>
      </c>
      <c r="M127" s="1" cm="1">
        <f t="array" ref="M127">INDEX(E:E, 14 + INT((ROW()-14)/8)*8)*J127
+ INDEX(F:F, 14 + INT((ROW()-14)/8)*8)*K127
+ INDEX(D:D, 14 + INT((ROW()-14)/8)*8)</f>
        <v>-2.632141722520156</v>
      </c>
      <c r="N127" s="1">
        <f t="shared" ref="N127:N129" si="294">1/(1+EXP(-L127))</f>
        <v>2.6372857294940693E-2</v>
      </c>
      <c r="O127" s="1">
        <f t="shared" ref="O127:O129" si="295">1/(1+EXP(-M127))</f>
        <v>6.7098262779321918E-2</v>
      </c>
      <c r="P127" s="1" cm="1">
        <f t="array" ref="P127">INDEX(H:H, 14 + INT((ROW()-14)/8)*8)*N127
+ INDEX(I:I, 14 + INT((ROW()-14)/8)*8)*O127
+ INDEX(G:G, 14 + INT((ROW()-14)/8)*8)</f>
        <v>1.4679480960092341</v>
      </c>
      <c r="Q127" s="1">
        <f t="shared" ref="Q127:Q129" si="296">1/(1+EXP(-P127))</f>
        <v>0.81274530637583731</v>
      </c>
      <c r="R127" s="8">
        <f>($C$5-Q127)^2</f>
        <v>3.5064320284279034E-2</v>
      </c>
      <c r="S127" s="1">
        <f>2*(Q127-$C$5)</f>
        <v>-0.37450938724832539</v>
      </c>
      <c r="T127" s="1">
        <f t="shared" ref="T127:T129" si="297">Q127*(1-Q127)</f>
        <v>0.15219037333988367</v>
      </c>
      <c r="U127" s="1">
        <v>1</v>
      </c>
      <c r="V127" s="1">
        <f t="shared" ref="V127:V129" si="298">N127</f>
        <v>2.6372857294940693E-2</v>
      </c>
      <c r="W127" s="8">
        <f t="shared" ref="W127:W129" si="299">O127</f>
        <v>6.7098262779321918E-2</v>
      </c>
      <c r="X127" s="1">
        <f t="shared" ref="X127:X129" si="300">S127*T127*U127</f>
        <v>-5.6996723464613708E-2</v>
      </c>
      <c r="Y127" s="1">
        <f t="shared" ref="Y127:Y129" si="301">S127*T127*V127</f>
        <v>-1.5031664542114549E-3</v>
      </c>
      <c r="Z127" s="8">
        <f t="shared" ref="Z127:Z129" si="302">S127*T127*W127</f>
        <v>-3.824381128588994E-3</v>
      </c>
      <c r="AA127" s="1">
        <f>2*(Q127-$C$5)</f>
        <v>-0.37450938724832539</v>
      </c>
      <c r="AB127" s="1" cm="1">
        <f t="array" ref="AB127">INDEX(H:H, 14 + INT((ROW()-14)/8)*8)</f>
        <v>-4.3731510771838051</v>
      </c>
      <c r="AC127" s="1" cm="1">
        <f t="array" ref="AC127">INDEX(I:I, 14 + INT((ROW()-14)/8)*8)</f>
        <v>-3.2472850826740678</v>
      </c>
      <c r="AD127" s="1">
        <f t="shared" ref="AD127:AD129" si="303">N127*(1-N127)</f>
        <v>2.5677329693041387E-2</v>
      </c>
      <c r="AE127" s="1">
        <f t="shared" ref="AE127:AE129" si="304" xml:space="preserve"> O127*(1-O127)</f>
        <v>6.2596085911318974E-2</v>
      </c>
      <c r="AF127" s="1">
        <v>1</v>
      </c>
      <c r="AG127" s="1">
        <f t="shared" ref="AG127:AG129" si="305">J127</f>
        <v>0</v>
      </c>
      <c r="AH127" s="1">
        <f t="shared" ref="AH127:AH129" si="306">K127</f>
        <v>1</v>
      </c>
      <c r="AI127" s="1"/>
      <c r="AJ127" s="1"/>
      <c r="AK127" s="1">
        <v>1</v>
      </c>
      <c r="AL127" s="1">
        <f t="shared" ref="AL127:AL129" si="307">J127</f>
        <v>0</v>
      </c>
      <c r="AM127" s="8">
        <f t="shared" ref="AM127:AM129" si="308">K127</f>
        <v>1</v>
      </c>
      <c r="AN127" s="1">
        <f t="shared" ref="AN127:AN129" si="309">S127*T127*AB127*AD127*AF127</f>
        <v>6.4002100694432853E-3</v>
      </c>
      <c r="AO127" s="1">
        <f t="shared" ref="AO127:AO129" si="310">S127*T127*AB127*AD127*AG127</f>
        <v>0</v>
      </c>
      <c r="AP127" s="1">
        <f t="shared" ref="AP127:AP129" si="311">S127*T127*AB127*AD127*AH127</f>
        <v>6.4002100694432853E-3</v>
      </c>
      <c r="AQ127" s="1">
        <f t="shared" ref="AQ127:AQ129" si="312">S127*T127*AC127*AE127*AK127</f>
        <v>1.158557214015647E-2</v>
      </c>
      <c r="AR127" s="1">
        <f t="shared" ref="AR127:AR129" si="313">S127*T127*AC127*AE127*AL127</f>
        <v>0</v>
      </c>
      <c r="AS127" s="8">
        <f t="shared" ref="AS127:AS129" si="314">S127*T127*AC127*AE127*AM127</f>
        <v>1.158557214015647E-2</v>
      </c>
      <c r="AT127" s="1"/>
    </row>
    <row r="128" spans="1:4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3">
        <v>1</v>
      </c>
      <c r="K128" s="3">
        <v>0</v>
      </c>
      <c r="L128" s="1" cm="1">
        <f t="array" ref="L128">INDEX(B:B, 14 + INT((ROW()-14)/8)*8)*J128
+ INDEX(C:C, 14 + INT((ROW()-14)/8)*8)*K128
+ INDEX(A:A, 14 + INT((ROW()-14)/8)*8)</f>
        <v>-1.4096340041290576</v>
      </c>
      <c r="M128" s="1" cm="1">
        <f t="array" ref="M128">INDEX(E:E, 14 + INT((ROW()-14)/8)*8)*J128
+ INDEX(F:F, 14 + INT((ROW()-14)/8)*8)*K128
+ INDEX(D:D, 14 + INT((ROW()-14)/8)*8)</f>
        <v>-2.712751240671452</v>
      </c>
      <c r="N128" s="1">
        <f t="shared" si="294"/>
        <v>0.19629178994056881</v>
      </c>
      <c r="O128" s="1">
        <f t="shared" si="295"/>
        <v>6.2225114327667044E-2</v>
      </c>
      <c r="P128" s="1" cm="1">
        <f t="array" ref="P128">INDEX(H:H, 14 + INT((ROW()-14)/8)*8)*N128
+ INDEX(I:I, 14 + INT((ROW()-14)/8)*8)*O128
+ INDEX(G:G, 14 + INT((ROW()-14)/8)*8)</f>
        <v>0.74069143494879808</v>
      </c>
      <c r="Q128" s="1">
        <f t="shared" si="296"/>
        <v>0.67714703551694733</v>
      </c>
      <c r="R128" s="8">
        <f>($C$6-Q128)^2</f>
        <v>0.10423403667549527</v>
      </c>
      <c r="S128" s="1">
        <f>2*(Q128-$C$6)</f>
        <v>-0.64570592896610535</v>
      </c>
      <c r="T128" s="1">
        <f t="shared" si="297"/>
        <v>0.2186189278075574</v>
      </c>
      <c r="U128" s="1">
        <v>1</v>
      </c>
      <c r="V128" s="1">
        <f t="shared" si="298"/>
        <v>0.19629178994056881</v>
      </c>
      <c r="W128" s="8">
        <f t="shared" si="299"/>
        <v>6.2225114327667044E-2</v>
      </c>
      <c r="X128" s="1">
        <f t="shared" si="300"/>
        <v>-0.14116353786955277</v>
      </c>
      <c r="Y128" s="1">
        <f t="shared" si="301"/>
        <v>-2.7709243522757783E-2</v>
      </c>
      <c r="Z128" s="8">
        <f t="shared" si="302"/>
        <v>-8.7839172828308772E-3</v>
      </c>
      <c r="AA128" s="1">
        <f>2*(Q128-$C$6)</f>
        <v>-0.64570592896610535</v>
      </c>
      <c r="AB128" s="1" cm="1">
        <f t="array" ref="AB128">INDEX(H:H, 14 + INT((ROW()-14)/8)*8)</f>
        <v>-4.3731510771838051</v>
      </c>
      <c r="AC128" s="1" cm="1">
        <f t="array" ref="AC128">INDEX(I:I, 14 + INT((ROW()-14)/8)*8)</f>
        <v>-3.2472850826740678</v>
      </c>
      <c r="AD128" s="1">
        <f t="shared" si="303"/>
        <v>0.15776132314249641</v>
      </c>
      <c r="AE128" s="1">
        <f t="shared" si="304"/>
        <v>5.8353149474575809E-2</v>
      </c>
      <c r="AF128" s="1">
        <v>1</v>
      </c>
      <c r="AG128" s="1">
        <f t="shared" si="305"/>
        <v>1</v>
      </c>
      <c r="AH128" s="1">
        <f t="shared" si="306"/>
        <v>0</v>
      </c>
      <c r="AI128" s="1"/>
      <c r="AJ128" s="1"/>
      <c r="AK128" s="1">
        <v>1</v>
      </c>
      <c r="AL128" s="1">
        <f t="shared" si="307"/>
        <v>1</v>
      </c>
      <c r="AM128" s="8">
        <f t="shared" si="308"/>
        <v>0</v>
      </c>
      <c r="AN128" s="1">
        <f t="shared" si="309"/>
        <v>9.7390715215763063E-2</v>
      </c>
      <c r="AO128" s="1">
        <f t="shared" si="310"/>
        <v>9.7390715215763063E-2</v>
      </c>
      <c r="AP128" s="1">
        <f t="shared" si="311"/>
        <v>0</v>
      </c>
      <c r="AQ128" s="1">
        <f t="shared" si="312"/>
        <v>2.6748981644390844E-2</v>
      </c>
      <c r="AR128" s="1">
        <f t="shared" si="313"/>
        <v>2.6748981644390844E-2</v>
      </c>
      <c r="AS128" s="8">
        <f t="shared" si="314"/>
        <v>0</v>
      </c>
      <c r="AT128" s="1"/>
    </row>
    <row r="129" spans="1:4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3">
        <v>1</v>
      </c>
      <c r="K129" s="3">
        <v>1</v>
      </c>
      <c r="L129" s="1" cm="1">
        <f t="array" ref="L129">INDEX(B:B, 14 + INT((ROW()-14)/8)*8)*J129
+ INDEX(C:C, 14 + INT((ROW()-14)/8)*8)*K129
+ INDEX(A:A, 14 + INT((ROW()-14)/8)*8)</f>
        <v>0.71678738099544326</v>
      </c>
      <c r="M129" s="1" cm="1">
        <f t="array" ref="M129">INDEX(E:E, 14 + INT((ROW()-14)/8)*8)*J129
+ INDEX(F:F, 14 + INT((ROW()-14)/8)*8)*K129
+ INDEX(D:D, 14 + INT((ROW()-14)/8)*8)</f>
        <v>-7.9015568199603816</v>
      </c>
      <c r="N129" s="1">
        <f t="shared" si="294"/>
        <v>0.67189918456151221</v>
      </c>
      <c r="O129" s="1">
        <f t="shared" si="295"/>
        <v>3.7002983580207302E-4</v>
      </c>
      <c r="P129" s="1" cm="1">
        <f t="array" ref="P129">INDEX(H:H, 14 + INT((ROW()-14)/8)*8)*N129
+ INDEX(I:I, 14 + INT((ROW()-14)/8)*8)*O129
+ INDEX(G:G, 14 + INT((ROW()-14)/8)*8)</f>
        <v>-1.1383504619963862</v>
      </c>
      <c r="Q129" s="1">
        <f t="shared" si="296"/>
        <v>0.2426233468753741</v>
      </c>
      <c r="R129" s="8">
        <f>($C$7-Q129)^2</f>
        <v>5.8866088449008099E-2</v>
      </c>
      <c r="S129" s="1">
        <f>2*(Q129-$C$7)</f>
        <v>0.48524669375074819</v>
      </c>
      <c r="T129" s="1">
        <f t="shared" si="297"/>
        <v>0.18375725842636598</v>
      </c>
      <c r="U129" s="1">
        <v>1</v>
      </c>
      <c r="V129" s="1">
        <f t="shared" si="298"/>
        <v>0.67189918456151221</v>
      </c>
      <c r="W129" s="8">
        <f t="shared" si="299"/>
        <v>3.7002983580207302E-4</v>
      </c>
      <c r="X129" s="1">
        <f t="shared" si="300"/>
        <v>8.9167602104095897E-2</v>
      </c>
      <c r="Y129" s="1">
        <f t="shared" si="301"/>
        <v>5.9911639143047417E-2</v>
      </c>
      <c r="Z129" s="8">
        <f t="shared" si="302"/>
        <v>3.2994673165443184E-5</v>
      </c>
      <c r="AA129" s="1">
        <f>2*(Q129-$C$7)</f>
        <v>0.48524669375074819</v>
      </c>
      <c r="AB129" s="1" cm="1">
        <f t="array" ref="AB129">INDEX(H:H, 14 + INT((ROW()-14)/8)*8)</f>
        <v>-4.3731510771838051</v>
      </c>
      <c r="AC129" s="1" cm="1">
        <f t="array" ref="AC129">INDEX(I:I, 14 + INT((ROW()-14)/8)*8)</f>
        <v>-3.2472850826740678</v>
      </c>
      <c r="AD129" s="1">
        <f t="shared" si="303"/>
        <v>0.22045067034708715</v>
      </c>
      <c r="AE129" s="1">
        <f t="shared" si="304"/>
        <v>3.6989291372268934E-4</v>
      </c>
      <c r="AF129" s="1">
        <v>1</v>
      </c>
      <c r="AG129" s="1">
        <f t="shared" si="305"/>
        <v>1</v>
      </c>
      <c r="AH129" s="1">
        <f t="shared" si="306"/>
        <v>1</v>
      </c>
      <c r="AI129" s="1"/>
      <c r="AJ129" s="1"/>
      <c r="AK129" s="1">
        <v>1</v>
      </c>
      <c r="AL129" s="1">
        <f t="shared" si="307"/>
        <v>1</v>
      </c>
      <c r="AM129" s="8">
        <f t="shared" si="308"/>
        <v>1</v>
      </c>
      <c r="AN129" s="1">
        <f t="shared" si="309"/>
        <v>-8.5963282867368526E-2</v>
      </c>
      <c r="AO129" s="1">
        <f t="shared" si="310"/>
        <v>-8.5963282867368526E-2</v>
      </c>
      <c r="AP129" s="1">
        <f t="shared" si="311"/>
        <v>-8.5963282867368526E-2</v>
      </c>
      <c r="AQ129" s="1">
        <f t="shared" si="312"/>
        <v>-1.071034638304576E-4</v>
      </c>
      <c r="AR129" s="1">
        <f t="shared" si="313"/>
        <v>-1.071034638304576E-4</v>
      </c>
      <c r="AS129" s="8">
        <f t="shared" si="314"/>
        <v>-1.071034638304576E-4</v>
      </c>
      <c r="AT129" s="1"/>
    </row>
    <row r="130" spans="1:4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46">
        <f>SUM(R126:R129)</f>
        <v>0.24960345402346254</v>
      </c>
      <c r="S130" s="1"/>
      <c r="T130" s="1"/>
      <c r="U130" s="1"/>
      <c r="V130" s="1"/>
      <c r="W130" s="1"/>
      <c r="X130" s="1">
        <f>AVERAGE(X126:X129)</f>
        <v>-7.3618876580230676E-3</v>
      </c>
      <c r="Y130" s="1">
        <f>AVERAGE(Y126:Y129)</f>
        <v>7.738843291188173E-3</v>
      </c>
      <c r="Z130" s="1">
        <f>AVERAGE(Z126:Z129)</f>
        <v>1.5311035491469008E-2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>
        <f>AVERAGE(AN126:AN129)</f>
        <v>4.1777732602359188E-3</v>
      </c>
      <c r="AO130" s="1">
        <f>AVERAGE(AO126:AO129)</f>
        <v>2.8568580870986342E-3</v>
      </c>
      <c r="AP130" s="1">
        <f xml:space="preserve"> AVERAGE(AP126:AP129)</f>
        <v>-1.989076819948131E-2</v>
      </c>
      <c r="AQ130" s="1">
        <f>AVERAGE(AQ126:AQ129)</f>
        <v>5.2432265139062909E-3</v>
      </c>
      <c r="AR130" s="1">
        <f>AVERAGE(AR126:AR129)</f>
        <v>6.6604695451400967E-3</v>
      </c>
      <c r="AS130" s="1">
        <f>AVERAGE(AS126:AS129)</f>
        <v>2.8696171690815032E-3</v>
      </c>
      <c r="AT130" s="1"/>
    </row>
    <row r="131" spans="1:46" ht="15" thickBot="1" x14ac:dyDescent="0.35">
      <c r="A131" s="1"/>
      <c r="B131" s="39"/>
      <c r="C131" s="4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6" ht="15" thickBot="1" x14ac:dyDescent="0.35">
      <c r="A132" s="1" t="s">
        <v>38</v>
      </c>
      <c r="B132" s="1">
        <v>15</v>
      </c>
      <c r="C132" s="1"/>
      <c r="D132" s="1"/>
      <c r="E132" s="1"/>
      <c r="F132" s="1"/>
      <c r="G132" s="1"/>
      <c r="H132" s="1"/>
      <c r="I132" s="1"/>
      <c r="J132" s="30" t="s">
        <v>7</v>
      </c>
      <c r="K132" s="31"/>
      <c r="L132" s="30" t="s">
        <v>8</v>
      </c>
      <c r="M132" s="31"/>
      <c r="N132" s="30" t="s">
        <v>9</v>
      </c>
      <c r="O132" s="31"/>
      <c r="P132" s="1"/>
      <c r="Q132" s="9" t="s">
        <v>10</v>
      </c>
      <c r="R132" s="10" t="s">
        <v>11</v>
      </c>
      <c r="S132" s="1"/>
      <c r="T132" s="11"/>
      <c r="U132" s="23" t="s">
        <v>13</v>
      </c>
      <c r="V132" s="24"/>
      <c r="W132" s="26"/>
      <c r="X132" s="32" t="s">
        <v>12</v>
      </c>
      <c r="Y132" s="33"/>
      <c r="Z132" s="34"/>
      <c r="AA132" s="35"/>
      <c r="AB132" s="25"/>
      <c r="AC132" s="21"/>
      <c r="AD132" s="22"/>
      <c r="AE132" s="11"/>
      <c r="AF132" s="11"/>
      <c r="AG132" s="23" t="s">
        <v>44</v>
      </c>
      <c r="AH132" s="24"/>
      <c r="AI132" s="25"/>
      <c r="AJ132" s="17"/>
      <c r="AK132" s="17"/>
      <c r="AL132" s="23" t="s">
        <v>45</v>
      </c>
      <c r="AM132" s="24"/>
      <c r="AN132" s="26"/>
      <c r="AO132" s="27" t="s">
        <v>12</v>
      </c>
      <c r="AP132" s="28"/>
      <c r="AQ132" s="28"/>
      <c r="AR132" s="28"/>
      <c r="AS132" s="28"/>
      <c r="AT132" s="29"/>
    </row>
    <row r="133" spans="1:46" ht="15" thickBot="1" x14ac:dyDescent="0.35">
      <c r="A133" s="12" t="s">
        <v>14</v>
      </c>
      <c r="B133" s="12" t="s">
        <v>15</v>
      </c>
      <c r="C133" s="12" t="s">
        <v>16</v>
      </c>
      <c r="D133" s="12" t="s">
        <v>17</v>
      </c>
      <c r="E133" s="12" t="s">
        <v>18</v>
      </c>
      <c r="F133" s="12" t="s">
        <v>19</v>
      </c>
      <c r="G133" s="12" t="s">
        <v>20</v>
      </c>
      <c r="H133" s="12" t="s">
        <v>21</v>
      </c>
      <c r="I133" s="12" t="s">
        <v>22</v>
      </c>
      <c r="J133" s="12" t="s">
        <v>23</v>
      </c>
      <c r="K133" s="12" t="s">
        <v>24</v>
      </c>
      <c r="L133" s="12" t="s">
        <v>39</v>
      </c>
      <c r="M133" s="12" t="s">
        <v>40</v>
      </c>
      <c r="N133" s="12" t="s">
        <v>41</v>
      </c>
      <c r="O133" s="12" t="s">
        <v>42</v>
      </c>
      <c r="P133" s="12" t="s">
        <v>25</v>
      </c>
      <c r="Q133" s="12" t="s">
        <v>26</v>
      </c>
      <c r="R133" s="13" t="s">
        <v>27</v>
      </c>
      <c r="S133" s="12" t="s">
        <v>43</v>
      </c>
      <c r="T133" s="12" t="s">
        <v>31</v>
      </c>
      <c r="U133" s="12" t="s">
        <v>28</v>
      </c>
      <c r="V133" s="12" t="s">
        <v>29</v>
      </c>
      <c r="W133" s="13" t="s">
        <v>30</v>
      </c>
      <c r="X133" s="12" t="s">
        <v>28</v>
      </c>
      <c r="Y133" s="12" t="s">
        <v>29</v>
      </c>
      <c r="Z133" s="13" t="s">
        <v>30</v>
      </c>
      <c r="AA133" s="12" t="s">
        <v>50</v>
      </c>
      <c r="AB133" s="12" t="s">
        <v>48</v>
      </c>
      <c r="AC133" s="12" t="s">
        <v>49</v>
      </c>
      <c r="AD133" s="12" t="s">
        <v>46</v>
      </c>
      <c r="AE133" s="12" t="s">
        <v>47</v>
      </c>
      <c r="AF133" s="12" t="s">
        <v>32</v>
      </c>
      <c r="AG133" s="12" t="s">
        <v>33</v>
      </c>
      <c r="AH133" s="12" t="s">
        <v>34</v>
      </c>
      <c r="AI133" s="12"/>
      <c r="AJ133" s="12"/>
      <c r="AK133" s="12" t="s">
        <v>35</v>
      </c>
      <c r="AL133" s="12" t="s">
        <v>36</v>
      </c>
      <c r="AM133" s="13" t="s">
        <v>37</v>
      </c>
      <c r="AN133" s="12" t="s">
        <v>32</v>
      </c>
      <c r="AO133" s="12" t="s">
        <v>33</v>
      </c>
      <c r="AP133" s="12" t="s">
        <v>34</v>
      </c>
      <c r="AQ133" s="12" t="s">
        <v>35</v>
      </c>
      <c r="AR133" s="12" t="s">
        <v>36</v>
      </c>
      <c r="AS133" s="13" t="s">
        <v>37</v>
      </c>
      <c r="AT133" s="1"/>
    </row>
    <row r="134" spans="1:46" ht="15" thickBot="1" x14ac:dyDescent="0.35">
      <c r="A134" s="3" cm="1">
        <f t="array" ref="A134">INDEX(A:A, 14 + INT((ROW()-18)/8)*8)
 - $C$9 *
 INDEX(AN:AN, 18 + INT((ROW()-18)/8)*8)</f>
        <v>-5.7560033229193728</v>
      </c>
      <c r="B134" s="3" cm="1">
        <f t="array" ref="B134">INDEX(B:B, 14 + INT((ROW()-18)/8)*8)
 - $C$9 *
 INDEX(AO:AO, 18 + INT((ROW()-18)/8)*8)</f>
        <v>4.3111961620536423</v>
      </c>
      <c r="C134" s="3" cm="1">
        <f t="array" ref="C134">INDEX(C:C, 14 + INT((ROW()-18)/8)*8)
 - $C$9 *
 INDEX(AP:AP, 18 + INT((ROW()-18)/8)*8)</f>
        <v>2.2258752261219068</v>
      </c>
      <c r="D134" s="3" cm="1">
        <f t="array" ref="D134">INDEX(D:D, 14 + INT((ROW()-18)/8)*8)
 - $C$9 *
 INDEX(AQ:AQ, 18 + INT((ROW()-18)/8)*8)</f>
        <v>2.5304477241992416</v>
      </c>
      <c r="E134" s="3" cm="1">
        <f t="array" ref="E134">INDEX(E:E, 14 + INT((ROW()-18)/8)*8)
 - $C$9 *
 INDEX(AR:AR, 18 + INT((ROW()-18)/8)*8)</f>
        <v>-5.3027174451659258</v>
      </c>
      <c r="F134" s="3" cm="1">
        <f t="array" ref="F134">INDEX(F:F, 14 + INT((ROW()-18)/8)*8)
 - $C$9 *
 INDEX(AS:AS, 18 + INT((ROW()-18)/8)*8)</f>
        <v>-5.2031536651343364</v>
      </c>
      <c r="G134" s="3" cm="1">
        <f t="array" ref="G134">INDEX(G:G, 14 + INT((ROW()-18)/8)*8)
 - $C$9 *
 INDEX(X:X, 18 + INT((ROW()-18)/8)*8)</f>
        <v>1.8379772113837709</v>
      </c>
      <c r="H134" s="3" cm="1">
        <f t="array" ref="H134">INDEX(H:H, 14 + INT((ROW()-18)/8)*8)
 - $C$9 *
 INDEX(Y:Y, 18 + INT((ROW()-18)/8)*8)</f>
        <v>-4.4118452936397459</v>
      </c>
      <c r="I134" s="3" cm="1">
        <f t="array" ref="I134">INDEX(I:I, 14 + INT((ROW()-18)/8)*8)
 - $C$9 *
 INDEX(Z:Z, 18 + INT((ROW()-18)/8)*8)</f>
        <v>-3.323840260131413</v>
      </c>
      <c r="J134" s="3">
        <v>0</v>
      </c>
      <c r="K134" s="3">
        <v>0</v>
      </c>
      <c r="L134" s="1" cm="1">
        <f t="array" ref="L134">INDEX(B:B, 14 + INT((ROW()-14)/8)*8)*J134
+ INDEX(C:C, 14 + INT((ROW()-14)/8)*8)*K134
+ INDEX(A:A, 14 + INT((ROW()-14)/8)*8)</f>
        <v>-5.7560033229193728</v>
      </c>
      <c r="M134" s="1" cm="1">
        <f t="array" ref="M134">INDEX(E:E, 14 + INT((ROW()-14)/8)*8)*J134
+ INDEX(F:F, 14 + INT((ROW()-14)/8)*8)*K134
+ INDEX(D:D, 14 + INT((ROW()-14)/8)*8)</f>
        <v>2.5304477241992416</v>
      </c>
      <c r="N134" s="1">
        <f>1/(1+EXP(-L134))</f>
        <v>3.1537531486450937E-3</v>
      </c>
      <c r="O134" s="1">
        <f>1/(1+EXP(-M134))</f>
        <v>0.9262489440978261</v>
      </c>
      <c r="P134" s="1" cm="1">
        <f t="array" ref="P134">INDEX(H:H, 14 + INT((ROW()-14)/8)*8)*N134
+ INDEX(I:I, 14 + INT((ROW()-14)/8)*8)*O134
+ INDEX(G:G, 14 + INT((ROW()-14)/8)*8)</f>
        <v>-1.2546401908989453</v>
      </c>
      <c r="Q134" s="1">
        <f>1/(1+EXP(-P134))</f>
        <v>0.22189793322495738</v>
      </c>
      <c r="R134" s="8">
        <f>($C$4-Q134)^2</f>
        <v>4.9238692769507646E-2</v>
      </c>
      <c r="S134" s="1">
        <f>2*(Q134-$C$4)</f>
        <v>0.44379586644991476</v>
      </c>
      <c r="T134" s="1">
        <f>Q134*(1-Q134)</f>
        <v>0.17265924045544975</v>
      </c>
      <c r="U134" s="1">
        <v>1</v>
      </c>
      <c r="V134" s="1">
        <f>N134</f>
        <v>3.1537531486450937E-3</v>
      </c>
      <c r="W134" s="8">
        <f>O134</f>
        <v>0.9262489440978261</v>
      </c>
      <c r="X134" s="1">
        <f>S134*T134*U134</f>
        <v>7.6625457218510495E-2</v>
      </c>
      <c r="Y134" s="1">
        <f>S134*T134*V134</f>
        <v>2.416577769692474E-4</v>
      </c>
      <c r="Z134" s="8">
        <f>S134*T134*W134</f>
        <v>7.0974248839658499E-2</v>
      </c>
      <c r="AA134" s="1">
        <f>2*(Q134-$C$4)</f>
        <v>0.44379586644991476</v>
      </c>
      <c r="AB134" s="1" cm="1">
        <f t="array" ref="AB134">INDEX(H:H, 14 + INT((ROW()-14)/8)*8)</f>
        <v>-4.4118452936397459</v>
      </c>
      <c r="AC134" s="1" cm="1">
        <f t="array" ref="AC134">INDEX(I:I, 14 + INT((ROW()-14)/8)*8)</f>
        <v>-3.323840260131413</v>
      </c>
      <c r="AD134" s="1">
        <f>N134*(1-N134)</f>
        <v>3.1438069897225048E-3</v>
      </c>
      <c r="AE134" s="1">
        <f xml:space="preserve"> O134*(1-O134)</f>
        <v>6.8311837655488317E-2</v>
      </c>
      <c r="AF134" s="1">
        <v>1</v>
      </c>
      <c r="AG134" s="1">
        <f>J134</f>
        <v>0</v>
      </c>
      <c r="AH134" s="1">
        <f>K134</f>
        <v>0</v>
      </c>
      <c r="AI134" s="1"/>
      <c r="AJ134" s="1"/>
      <c r="AK134" s="1">
        <v>1</v>
      </c>
      <c r="AL134" s="1">
        <f>J134</f>
        <v>0</v>
      </c>
      <c r="AM134" s="8">
        <f>K134</f>
        <v>0</v>
      </c>
      <c r="AN134" s="1">
        <f>S134*T134*AB134*AD134*AF134</f>
        <v>-1.0627943308616672E-3</v>
      </c>
      <c r="AO134" s="1">
        <f>S134*T134*AB134*AD134*AG134</f>
        <v>0</v>
      </c>
      <c r="AP134" s="1">
        <f>S134*T134*AB134*AD134*AH134</f>
        <v>0</v>
      </c>
      <c r="AQ134" s="1">
        <f>S134*T134*AC134*AE134*AK134</f>
        <v>-1.7398395192064393E-2</v>
      </c>
      <c r="AR134" s="1">
        <f>S134*T134*AC134*AE134*AL134</f>
        <v>0</v>
      </c>
      <c r="AS134" s="8">
        <f>S134*T134*AC134*AE134*AM134</f>
        <v>0</v>
      </c>
      <c r="AT134" s="1"/>
    </row>
    <row r="135" spans="1:4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3">
        <v>0</v>
      </c>
      <c r="K135" s="3">
        <v>1</v>
      </c>
      <c r="L135" s="1" cm="1">
        <f t="array" ref="L135">INDEX(B:B, 14 + INT((ROW()-14)/8)*8)*J135
+ INDEX(C:C, 14 + INT((ROW()-14)/8)*8)*K135
+ INDEX(A:A, 14 + INT((ROW()-14)/8)*8)</f>
        <v>-3.530128096797466</v>
      </c>
      <c r="M135" s="1" cm="1">
        <f t="array" ref="M135">INDEX(E:E, 14 + INT((ROW()-14)/8)*8)*J135
+ INDEX(F:F, 14 + INT((ROW()-14)/8)*8)*K135
+ INDEX(D:D, 14 + INT((ROW()-14)/8)*8)</f>
        <v>-2.6727059409350948</v>
      </c>
      <c r="N135" s="1">
        <f t="shared" ref="N135:N137" si="315">1/(1+EXP(-L135))</f>
        <v>2.8467044744975949E-2</v>
      </c>
      <c r="O135" s="1">
        <f t="shared" ref="O135:O137" si="316">1/(1+EXP(-M135))</f>
        <v>6.4603256694437103E-2</v>
      </c>
      <c r="P135" s="1" cm="1">
        <f t="array" ref="P135">INDEX(H:H, 14 + INT((ROW()-14)/8)*8)*N135
+ INDEX(I:I, 14 + INT((ROW()-14)/8)*8)*O135
+ INDEX(G:G, 14 + INT((ROW()-14)/8)*8)</f>
        <v>1.4976541084652424</v>
      </c>
      <c r="Q135" s="1">
        <f t="shared" ref="Q135:Q137" si="317">1/(1+EXP(-P135))</f>
        <v>0.81722433410066309</v>
      </c>
      <c r="R135" s="8">
        <f>($C$5-Q135)^2</f>
        <v>3.3406944044946034E-2</v>
      </c>
      <c r="S135" s="1">
        <f>2*(Q135-$C$5)</f>
        <v>-0.36555133179867383</v>
      </c>
      <c r="T135" s="1">
        <f t="shared" ref="T135:T137" si="318">Q135*(1-Q135)</f>
        <v>0.14936872185439087</v>
      </c>
      <c r="U135" s="1">
        <v>1</v>
      </c>
      <c r="V135" s="1">
        <f t="shared" ref="V135:V137" si="319">N135</f>
        <v>2.8467044744975949E-2</v>
      </c>
      <c r="W135" s="8">
        <f t="shared" ref="W135:W137" si="320">O135</f>
        <v>6.4603256694437103E-2</v>
      </c>
      <c r="X135" s="1">
        <f t="shared" ref="X135:X137" si="321">S135*T135*U135</f>
        <v>-5.4601935202938261E-2</v>
      </c>
      <c r="Y135" s="1">
        <f t="shared" ref="Y135:Y137" si="322">S135*T135*V135</f>
        <v>-1.554355732584321E-3</v>
      </c>
      <c r="Z135" s="8">
        <f t="shared" ref="Z135:Z137" si="323">S135*T135*W135</f>
        <v>-3.5274628359284422E-3</v>
      </c>
      <c r="AA135" s="1">
        <f>2*(Q135-$C$5)</f>
        <v>-0.36555133179867383</v>
      </c>
      <c r="AB135" s="1" cm="1">
        <f t="array" ref="AB135">INDEX(H:H, 14 + INT((ROW()-14)/8)*8)</f>
        <v>-4.4118452936397459</v>
      </c>
      <c r="AC135" s="1" cm="1">
        <f t="array" ref="AC135">INDEX(I:I, 14 + INT((ROW()-14)/8)*8)</f>
        <v>-3.323840260131413</v>
      </c>
      <c r="AD135" s="1">
        <f t="shared" ref="AD135:AD137" si="324">N135*(1-N135)</f>
        <v>2.7656672108463485E-2</v>
      </c>
      <c r="AE135" s="1">
        <f t="shared" ref="AE135:AE137" si="325" xml:space="preserve"> O135*(1-O135)</f>
        <v>6.042967591890977E-2</v>
      </c>
      <c r="AF135" s="1">
        <v>1</v>
      </c>
      <c r="AG135" s="1">
        <f t="shared" ref="AG135:AG137" si="326">J135</f>
        <v>0</v>
      </c>
      <c r="AH135" s="1">
        <f t="shared" ref="AH135:AH137" si="327">K135</f>
        <v>1</v>
      </c>
      <c r="AI135" s="1"/>
      <c r="AJ135" s="1"/>
      <c r="AK135" s="1">
        <v>1</v>
      </c>
      <c r="AL135" s="1">
        <f t="shared" ref="AL135:AL137" si="328">J135</f>
        <v>0</v>
      </c>
      <c r="AM135" s="8">
        <f t="shared" ref="AM135:AM137" si="329">K135</f>
        <v>1</v>
      </c>
      <c r="AN135" s="1">
        <f t="shared" ref="AN135:AN137" si="330">S135*T135*AB135*AD135*AF135</f>
        <v>6.6623620714755935E-3</v>
      </c>
      <c r="AO135" s="1">
        <f t="shared" ref="AO135:AO137" si="331">S135*T135*AB135*AD135*AG135</f>
        <v>0</v>
      </c>
      <c r="AP135" s="1">
        <f t="shared" ref="AP135:AP137" si="332">S135*T135*AB135*AD135*AH135</f>
        <v>6.6623620714755935E-3</v>
      </c>
      <c r="AQ135" s="1">
        <f t="shared" ref="AQ135:AQ137" si="333">S135*T135*AC135*AE135*AK135</f>
        <v>1.0967267701170758E-2</v>
      </c>
      <c r="AR135" s="1">
        <f t="shared" ref="AR135:AR137" si="334">S135*T135*AC135*AE135*AL135</f>
        <v>0</v>
      </c>
      <c r="AS135" s="8">
        <f t="shared" ref="AS135:AS137" si="335">S135*T135*AC135*AE135*AM135</f>
        <v>1.0967267701170758E-2</v>
      </c>
      <c r="AT135" s="1"/>
    </row>
    <row r="136" spans="1:4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3">
        <v>1</v>
      </c>
      <c r="K136" s="3">
        <v>0</v>
      </c>
      <c r="L136" s="1" cm="1">
        <f t="array" ref="L136">INDEX(B:B, 14 + INT((ROW()-14)/8)*8)*J136
+ INDEX(C:C, 14 + INT((ROW()-14)/8)*8)*K136
+ INDEX(A:A, 14 + INT((ROW()-14)/8)*8)</f>
        <v>-1.4448071608657305</v>
      </c>
      <c r="M136" s="1" cm="1">
        <f t="array" ref="M136">INDEX(E:E, 14 + INT((ROW()-14)/8)*8)*J136
+ INDEX(F:F, 14 + INT((ROW()-14)/8)*8)*K136
+ INDEX(D:D, 14 + INT((ROW()-14)/8)*8)</f>
        <v>-2.7722697209666842</v>
      </c>
      <c r="N136" s="1">
        <f t="shared" si="315"/>
        <v>0.19080203577499058</v>
      </c>
      <c r="O136" s="1">
        <f t="shared" si="316"/>
        <v>5.8841192867633348E-2</v>
      </c>
      <c r="P136" s="1" cm="1">
        <f t="array" ref="P136">INDEX(H:H, 14 + INT((ROW()-14)/8)*8)*N136
+ INDEX(I:I, 14 + INT((ROW()-14)/8)*8)*O136
+ INDEX(G:G, 14 + INT((ROW()-14)/8)*8)</f>
        <v>0.8006094220253992</v>
      </c>
      <c r="Q136" s="1">
        <f t="shared" si="317"/>
        <v>0.69010482731330236</v>
      </c>
      <c r="R136" s="8">
        <f>($C$6-Q136)^2</f>
        <v>9.6035018054518154E-2</v>
      </c>
      <c r="S136" s="1">
        <f>2*(Q136-$C$6)</f>
        <v>-0.61979034537339528</v>
      </c>
      <c r="T136" s="1">
        <f t="shared" si="318"/>
        <v>0.2138601546321795</v>
      </c>
      <c r="U136" s="1">
        <v>1</v>
      </c>
      <c r="V136" s="1">
        <f t="shared" si="319"/>
        <v>0.19080203577499058</v>
      </c>
      <c r="W136" s="8">
        <f t="shared" si="320"/>
        <v>5.8841192867633348E-2</v>
      </c>
      <c r="X136" s="1">
        <f t="shared" si="321"/>
        <v>-0.13254845910108626</v>
      </c>
      <c r="Y136" s="1">
        <f t="shared" si="322"/>
        <v>-2.5290515835325336E-2</v>
      </c>
      <c r="Z136" s="8">
        <f t="shared" si="323"/>
        <v>-7.7993094462746274E-3</v>
      </c>
      <c r="AA136" s="1">
        <f>2*(Q136-$C$6)</f>
        <v>-0.61979034537339528</v>
      </c>
      <c r="AB136" s="1" cm="1">
        <f t="array" ref="AB136">INDEX(H:H, 14 + INT((ROW()-14)/8)*8)</f>
        <v>-4.4118452936397459</v>
      </c>
      <c r="AC136" s="1" cm="1">
        <f t="array" ref="AC136">INDEX(I:I, 14 + INT((ROW()-14)/8)*8)</f>
        <v>-3.323840260131413</v>
      </c>
      <c r="AD136" s="1">
        <f t="shared" si="324"/>
        <v>0.1543966189191098</v>
      </c>
      <c r="AE136" s="1">
        <f t="shared" si="325"/>
        <v>5.5378906889547323E-2</v>
      </c>
      <c r="AF136" s="1">
        <v>1</v>
      </c>
      <c r="AG136" s="1">
        <f t="shared" si="326"/>
        <v>1</v>
      </c>
      <c r="AH136" s="1">
        <f t="shared" si="327"/>
        <v>0</v>
      </c>
      <c r="AI136" s="1"/>
      <c r="AJ136" s="1"/>
      <c r="AK136" s="1">
        <v>1</v>
      </c>
      <c r="AL136" s="1">
        <f t="shared" si="328"/>
        <v>1</v>
      </c>
      <c r="AM136" s="8">
        <f t="shared" si="329"/>
        <v>0</v>
      </c>
      <c r="AN136" s="1">
        <f t="shared" si="330"/>
        <v>9.0288563620067E-2</v>
      </c>
      <c r="AO136" s="1">
        <f t="shared" si="331"/>
        <v>9.0288563620067E-2</v>
      </c>
      <c r="AP136" s="1">
        <f t="shared" si="332"/>
        <v>0</v>
      </c>
      <c r="AQ136" s="1">
        <f t="shared" si="333"/>
        <v>2.4398279735069296E-2</v>
      </c>
      <c r="AR136" s="1">
        <f t="shared" si="334"/>
        <v>2.4398279735069296E-2</v>
      </c>
      <c r="AS136" s="8">
        <f t="shared" si="335"/>
        <v>0</v>
      </c>
      <c r="AT136" s="1"/>
    </row>
    <row r="137" spans="1:4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3">
        <v>1</v>
      </c>
      <c r="K137" s="3">
        <v>1</v>
      </c>
      <c r="L137" s="1" cm="1">
        <f t="array" ref="L137">INDEX(B:B, 14 + INT((ROW()-14)/8)*8)*J137
+ INDEX(C:C, 14 + INT((ROW()-14)/8)*8)*K137
+ INDEX(A:A, 14 + INT((ROW()-14)/8)*8)</f>
        <v>0.78106806525617678</v>
      </c>
      <c r="M137" s="1" cm="1">
        <f t="array" ref="M137">INDEX(E:E, 14 + INT((ROW()-14)/8)*8)*J137
+ INDEX(F:F, 14 + INT((ROW()-14)/8)*8)*K137
+ INDEX(D:D, 14 + INT((ROW()-14)/8)*8)</f>
        <v>-7.9754233861010206</v>
      </c>
      <c r="N137" s="1">
        <f t="shared" si="315"/>
        <v>0.68591026079036932</v>
      </c>
      <c r="O137" s="1">
        <f t="shared" si="316"/>
        <v>3.4369114564126963E-4</v>
      </c>
      <c r="P137" s="1" cm="1">
        <f t="array" ref="P137">INDEX(H:H, 14 + INT((ROW()-14)/8)*8)*N137
+ INDEX(I:I, 14 + INT((ROW()-14)/8)*8)*O137
+ INDEX(G:G, 14 + INT((ROW()-14)/8)*8)</f>
        <v>-1.1892951190103638</v>
      </c>
      <c r="Q137" s="1">
        <f t="shared" si="317"/>
        <v>0.23338502687834764</v>
      </c>
      <c r="R137" s="8">
        <f>($C$7-Q137)^2</f>
        <v>5.4468570771007051E-2</v>
      </c>
      <c r="S137" s="1">
        <f>2*(Q137-$C$7)</f>
        <v>0.46677005375669528</v>
      </c>
      <c r="T137" s="1">
        <f t="shared" si="318"/>
        <v>0.17891645610734058</v>
      </c>
      <c r="U137" s="1">
        <v>1</v>
      </c>
      <c r="V137" s="1">
        <f t="shared" si="319"/>
        <v>0.68591026079036932</v>
      </c>
      <c r="W137" s="8">
        <f t="shared" si="320"/>
        <v>3.4369114564126963E-4</v>
      </c>
      <c r="X137" s="1">
        <f t="shared" si="321"/>
        <v>8.3512843835180775E-2</v>
      </c>
      <c r="Y137" s="1">
        <f t="shared" si="322"/>
        <v>5.7282316494334233E-2</v>
      </c>
      <c r="Z137" s="8">
        <f t="shared" si="323"/>
        <v>2.8702624973473724E-5</v>
      </c>
      <c r="AA137" s="1">
        <f>2*(Q137-$C$7)</f>
        <v>0.46677005375669528</v>
      </c>
      <c r="AB137" s="1" cm="1">
        <f t="array" ref="AB137">INDEX(H:H, 14 + INT((ROW()-14)/8)*8)</f>
        <v>-4.4118452936397459</v>
      </c>
      <c r="AC137" s="1" cm="1">
        <f t="array" ref="AC137">INDEX(I:I, 14 + INT((ROW()-14)/8)*8)</f>
        <v>-3.323840260131413</v>
      </c>
      <c r="AD137" s="1">
        <f t="shared" si="324"/>
        <v>0.21543737493285686</v>
      </c>
      <c r="AE137" s="1">
        <f t="shared" si="325"/>
        <v>3.4357302203767741E-4</v>
      </c>
      <c r="AF137" s="1">
        <v>1</v>
      </c>
      <c r="AG137" s="1">
        <f t="shared" si="326"/>
        <v>1</v>
      </c>
      <c r="AH137" s="1">
        <f t="shared" si="327"/>
        <v>1</v>
      </c>
      <c r="AI137" s="1"/>
      <c r="AJ137" s="1"/>
      <c r="AK137" s="1">
        <v>1</v>
      </c>
      <c r="AL137" s="1">
        <f t="shared" si="328"/>
        <v>1</v>
      </c>
      <c r="AM137" s="8">
        <f t="shared" si="329"/>
        <v>1</v>
      </c>
      <c r="AN137" s="1">
        <f t="shared" si="330"/>
        <v>-7.9376984545903209E-2</v>
      </c>
      <c r="AO137" s="1">
        <f t="shared" si="331"/>
        <v>-7.9376984545903209E-2</v>
      </c>
      <c r="AP137" s="1">
        <f t="shared" si="332"/>
        <v>-7.9376984545903209E-2</v>
      </c>
      <c r="AQ137" s="1">
        <f t="shared" si="333"/>
        <v>-9.5370151312381627E-5</v>
      </c>
      <c r="AR137" s="1">
        <f t="shared" si="334"/>
        <v>-9.5370151312381627E-5</v>
      </c>
      <c r="AS137" s="8">
        <f t="shared" si="335"/>
        <v>-9.5370151312381627E-5</v>
      </c>
      <c r="AT137" s="1"/>
    </row>
    <row r="138" spans="1:4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46">
        <f>SUM(R134:R137)</f>
        <v>0.23314922563997889</v>
      </c>
      <c r="S138" s="1"/>
      <c r="T138" s="1"/>
      <c r="U138" s="1"/>
      <c r="V138" s="1"/>
      <c r="W138" s="1"/>
      <c r="X138" s="1">
        <f>AVERAGE(X134:X137)</f>
        <v>-6.7530233125833138E-3</v>
      </c>
      <c r="Y138" s="1">
        <f>AVERAGE(Y134:Y137)</f>
        <v>7.6697756758484555E-3</v>
      </c>
      <c r="Z138" s="1">
        <f>AVERAGE(Z134:Z137)</f>
        <v>1.4919044795607225E-2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>
        <f>AVERAGE(AN134:AN137)</f>
        <v>4.1277867036944305E-3</v>
      </c>
      <c r="AO138" s="1">
        <f>AVERAGE(AO134:AO137)</f>
        <v>2.7278947685409477E-3</v>
      </c>
      <c r="AP138" s="1">
        <f xml:space="preserve"> AVERAGE(AP134:AP137)</f>
        <v>-1.8178655618606904E-2</v>
      </c>
      <c r="AQ138" s="1">
        <f>AVERAGE(AQ134:AQ137)</f>
        <v>4.4679455232158197E-3</v>
      </c>
      <c r="AR138" s="1">
        <f>AVERAGE(AR134:AR137)</f>
        <v>6.0757273959392288E-3</v>
      </c>
      <c r="AS138" s="1">
        <f>AVERAGE(AS134:AS137)</f>
        <v>2.717974387464594E-3</v>
      </c>
      <c r="AT138" s="1"/>
    </row>
    <row r="139" spans="1:4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6" ht="15" thickBot="1" x14ac:dyDescent="0.35">
      <c r="A140" s="1" t="s">
        <v>38</v>
      </c>
      <c r="B140" s="1">
        <v>16</v>
      </c>
      <c r="C140" s="1"/>
      <c r="D140" s="1"/>
      <c r="E140" s="1"/>
      <c r="F140" s="1"/>
      <c r="G140" s="1"/>
      <c r="H140" s="1"/>
      <c r="I140" s="1"/>
      <c r="J140" s="30" t="s">
        <v>7</v>
      </c>
      <c r="K140" s="31"/>
      <c r="L140" s="30" t="s">
        <v>8</v>
      </c>
      <c r="M140" s="31"/>
      <c r="N140" s="30" t="s">
        <v>9</v>
      </c>
      <c r="O140" s="31"/>
      <c r="P140" s="1"/>
      <c r="Q140" s="9" t="s">
        <v>10</v>
      </c>
      <c r="R140" s="10" t="s">
        <v>11</v>
      </c>
      <c r="S140" s="1"/>
      <c r="T140" s="11"/>
      <c r="U140" s="23" t="s">
        <v>13</v>
      </c>
      <c r="V140" s="24"/>
      <c r="W140" s="26"/>
      <c r="X140" s="32" t="s">
        <v>12</v>
      </c>
      <c r="Y140" s="33"/>
      <c r="Z140" s="34"/>
      <c r="AA140" s="35"/>
      <c r="AB140" s="25"/>
      <c r="AC140" s="21"/>
      <c r="AD140" s="22"/>
      <c r="AE140" s="11"/>
      <c r="AF140" s="11"/>
      <c r="AG140" s="23" t="s">
        <v>44</v>
      </c>
      <c r="AH140" s="24"/>
      <c r="AI140" s="25"/>
      <c r="AJ140" s="17"/>
      <c r="AK140" s="17"/>
      <c r="AL140" s="23" t="s">
        <v>45</v>
      </c>
      <c r="AM140" s="24"/>
      <c r="AN140" s="26"/>
      <c r="AO140" s="27" t="s">
        <v>12</v>
      </c>
      <c r="AP140" s="28"/>
      <c r="AQ140" s="28"/>
      <c r="AR140" s="28"/>
      <c r="AS140" s="28"/>
      <c r="AT140" s="29"/>
    </row>
    <row r="141" spans="1:46" ht="15" thickBot="1" x14ac:dyDescent="0.35">
      <c r="A141" s="12" t="s">
        <v>14</v>
      </c>
      <c r="B141" s="12" t="s">
        <v>15</v>
      </c>
      <c r="C141" s="12" t="s">
        <v>16</v>
      </c>
      <c r="D141" s="12" t="s">
        <v>17</v>
      </c>
      <c r="E141" s="12" t="s">
        <v>18</v>
      </c>
      <c r="F141" s="12" t="s">
        <v>19</v>
      </c>
      <c r="G141" s="12" t="s">
        <v>20</v>
      </c>
      <c r="H141" s="12" t="s">
        <v>21</v>
      </c>
      <c r="I141" s="12" t="s">
        <v>22</v>
      </c>
      <c r="J141" s="12" t="s">
        <v>23</v>
      </c>
      <c r="K141" s="12" t="s">
        <v>24</v>
      </c>
      <c r="L141" s="12" t="s">
        <v>39</v>
      </c>
      <c r="M141" s="12" t="s">
        <v>40</v>
      </c>
      <c r="N141" s="12" t="s">
        <v>41</v>
      </c>
      <c r="O141" s="12" t="s">
        <v>42</v>
      </c>
      <c r="P141" s="12" t="s">
        <v>25</v>
      </c>
      <c r="Q141" s="12" t="s">
        <v>26</v>
      </c>
      <c r="R141" s="13" t="s">
        <v>27</v>
      </c>
      <c r="S141" s="12" t="s">
        <v>43</v>
      </c>
      <c r="T141" s="12" t="s">
        <v>31</v>
      </c>
      <c r="U141" s="12" t="s">
        <v>28</v>
      </c>
      <c r="V141" s="12" t="s">
        <v>29</v>
      </c>
      <c r="W141" s="13" t="s">
        <v>30</v>
      </c>
      <c r="X141" s="12" t="s">
        <v>28</v>
      </c>
      <c r="Y141" s="12" t="s">
        <v>29</v>
      </c>
      <c r="Z141" s="13" t="s">
        <v>30</v>
      </c>
      <c r="AA141" s="12" t="s">
        <v>50</v>
      </c>
      <c r="AB141" s="12" t="s">
        <v>48</v>
      </c>
      <c r="AC141" s="12" t="s">
        <v>49</v>
      </c>
      <c r="AD141" s="12" t="s">
        <v>46</v>
      </c>
      <c r="AE141" s="12" t="s">
        <v>47</v>
      </c>
      <c r="AF141" s="12" t="s">
        <v>32</v>
      </c>
      <c r="AG141" s="12" t="s">
        <v>33</v>
      </c>
      <c r="AH141" s="12" t="s">
        <v>34</v>
      </c>
      <c r="AI141" s="12"/>
      <c r="AJ141" s="12"/>
      <c r="AK141" s="12" t="s">
        <v>35</v>
      </c>
      <c r="AL141" s="12" t="s">
        <v>36</v>
      </c>
      <c r="AM141" s="13" t="s">
        <v>37</v>
      </c>
      <c r="AN141" s="12" t="s">
        <v>32</v>
      </c>
      <c r="AO141" s="12" t="s">
        <v>33</v>
      </c>
      <c r="AP141" s="12" t="s">
        <v>34</v>
      </c>
      <c r="AQ141" s="12" t="s">
        <v>35</v>
      </c>
      <c r="AR141" s="12" t="s">
        <v>36</v>
      </c>
      <c r="AS141" s="13" t="s">
        <v>37</v>
      </c>
      <c r="AT141" s="1"/>
    </row>
    <row r="142" spans="1:46" ht="15" thickBot="1" x14ac:dyDescent="0.35">
      <c r="A142" s="3" cm="1">
        <f t="array" ref="A142">INDEX(A:A, 14 + INT((ROW()-18)/8)*8)
 - $C$9 *
 INDEX(AN:AN, 18 + INT((ROW()-18)/8)*8)</f>
        <v>-5.776642256437845</v>
      </c>
      <c r="B142" s="3" cm="1">
        <f t="array" ref="B142">INDEX(B:B, 14 + INT((ROW()-18)/8)*8)
 - $C$9 *
 INDEX(AO:AO, 18 + INT((ROW()-18)/8)*8)</f>
        <v>4.2975566882109373</v>
      </c>
      <c r="C142" s="3" cm="1">
        <f t="array" ref="C142">INDEX(C:C, 14 + INT((ROW()-18)/8)*8)
 - $C$9 *
 INDEX(AP:AP, 18 + INT((ROW()-18)/8)*8)</f>
        <v>2.3167685042149415</v>
      </c>
      <c r="D142" s="3" cm="1">
        <f t="array" ref="D142">INDEX(D:D, 14 + INT((ROW()-18)/8)*8)
 - $C$9 *
 INDEX(AQ:AQ, 18 + INT((ROW()-18)/8)*8)</f>
        <v>2.5081079965831625</v>
      </c>
      <c r="E142" s="3" cm="1">
        <f t="array" ref="E142">INDEX(E:E, 14 + INT((ROW()-18)/8)*8)
 - $C$9 *
 INDEX(AR:AR, 18 + INT((ROW()-18)/8)*8)</f>
        <v>-5.3330960821456221</v>
      </c>
      <c r="F142" s="3" cm="1">
        <f t="array" ref="F142">INDEX(F:F, 14 + INT((ROW()-18)/8)*8)
 - $C$9 *
 INDEX(AS:AS, 18 + INT((ROW()-18)/8)*8)</f>
        <v>-5.2167435370716593</v>
      </c>
      <c r="G142" s="3" cm="1">
        <f t="array" ref="G142">INDEX(G:G, 14 + INT((ROW()-18)/8)*8)
 - $C$9 *
 INDEX(X:X, 18 + INT((ROW()-18)/8)*8)</f>
        <v>1.8717423279466874</v>
      </c>
      <c r="H142" s="3" cm="1">
        <f t="array" ref="H142">INDEX(H:H, 14 + INT((ROW()-18)/8)*8)
 - $C$9 *
 INDEX(Y:Y, 18 + INT((ROW()-18)/8)*8)</f>
        <v>-4.4501941720189881</v>
      </c>
      <c r="I142" s="3" cm="1">
        <f t="array" ref="I142">INDEX(I:I, 14 + INT((ROW()-18)/8)*8)
 - $C$9 *
 INDEX(Z:Z, 18 + INT((ROW()-18)/8)*8)</f>
        <v>-3.3984354841094491</v>
      </c>
      <c r="J142" s="3">
        <v>0</v>
      </c>
      <c r="K142" s="3">
        <v>0</v>
      </c>
      <c r="L142" s="1" cm="1">
        <f t="array" ref="L142">INDEX(B:B, 14 + INT((ROW()-14)/8)*8)*J142
+ INDEX(C:C, 14 + INT((ROW()-14)/8)*8)*K142
+ INDEX(A:A, 14 + INT((ROW()-14)/8)*8)</f>
        <v>-5.776642256437845</v>
      </c>
      <c r="M142" s="1" cm="1">
        <f t="array" ref="M142">INDEX(E:E, 14 + INT((ROW()-14)/8)*8)*J142
+ INDEX(F:F, 14 + INT((ROW()-14)/8)*8)*K142
+ INDEX(D:D, 14 + INT((ROW()-14)/8)*8)</f>
        <v>2.5081079965831625</v>
      </c>
      <c r="N142" s="1">
        <f>1/(1+EXP(-L142))</f>
        <v>3.0895291816873459E-3</v>
      </c>
      <c r="O142" s="1">
        <f>1/(1+EXP(-M142))</f>
        <v>0.92470826958334817</v>
      </c>
      <c r="P142" s="1" cm="1">
        <f t="array" ref="P142">INDEX(H:H, 14 + INT((ROW()-14)/8)*8)*N142
+ INDEX(I:I, 14 + INT((ROW()-14)/8)*8)*O142
+ INDEX(G:G, 14 + INT((ROW()-14)/8)*8)</f>
        <v>-1.2845680726134368</v>
      </c>
      <c r="Q142" s="1">
        <f>1/(1+EXP(-P142))</f>
        <v>0.2167736398933377</v>
      </c>
      <c r="R142" s="8">
        <f>($C$4-Q142)^2</f>
        <v>4.6990810952606453E-2</v>
      </c>
      <c r="S142" s="1">
        <f>2*(Q142-$C$4)</f>
        <v>0.4335472797866754</v>
      </c>
      <c r="T142" s="1">
        <f>Q142*(1-Q142)</f>
        <v>0.16978282894073124</v>
      </c>
      <c r="U142" s="1">
        <v>1</v>
      </c>
      <c r="V142" s="1">
        <f>N142</f>
        <v>3.0895291816873459E-3</v>
      </c>
      <c r="W142" s="8">
        <f>O142</f>
        <v>0.92470826958334817</v>
      </c>
      <c r="X142" s="1">
        <f>S142*T142*U142</f>
        <v>7.3608883641740452E-2</v>
      </c>
      <c r="Y142" s="1">
        <f>S142*T142*V142</f>
        <v>2.2741679404258543E-4</v>
      </c>
      <c r="Z142" s="8">
        <f>S142*T142*W142</f>
        <v>6.8066743418315839E-2</v>
      </c>
      <c r="AA142" s="1">
        <f>2*(Q142-$C$4)</f>
        <v>0.4335472797866754</v>
      </c>
      <c r="AB142" s="1" cm="1">
        <f t="array" ref="AB142">INDEX(H:H, 14 + INT((ROW()-14)/8)*8)</f>
        <v>-4.4501941720189881</v>
      </c>
      <c r="AC142" s="1" cm="1">
        <f t="array" ref="AC142">INDEX(I:I, 14 + INT((ROW()-14)/8)*8)</f>
        <v>-3.3984354841094491</v>
      </c>
      <c r="AD142" s="1">
        <f>N142*(1-N142)</f>
        <v>3.079983991122848E-3</v>
      </c>
      <c r="AE142" s="1">
        <f xml:space="preserve"> O142*(1-O142)</f>
        <v>6.9622885747518057E-2</v>
      </c>
      <c r="AF142" s="1">
        <v>1</v>
      </c>
      <c r="AG142" s="1">
        <f>J142</f>
        <v>0</v>
      </c>
      <c r="AH142" s="1">
        <f>K142</f>
        <v>0</v>
      </c>
      <c r="AI142" s="1"/>
      <c r="AJ142" s="1"/>
      <c r="AK142" s="1">
        <v>1</v>
      </c>
      <c r="AL142" s="1">
        <f>J142</f>
        <v>0</v>
      </c>
      <c r="AM142" s="8">
        <f>K142</f>
        <v>0</v>
      </c>
      <c r="AN142" s="1">
        <f>S142*T142*AB142*AD142*AF142</f>
        <v>-1.0089221368840729E-3</v>
      </c>
      <c r="AO142" s="1">
        <f>S142*T142*AB142*AD142*AG142</f>
        <v>0</v>
      </c>
      <c r="AP142" s="1">
        <f>S142*T142*AB142*AD142*AH142</f>
        <v>0</v>
      </c>
      <c r="AQ142" s="1">
        <f>S142*T142*AC142*AE142*AK142</f>
        <v>-1.7416515916252876E-2</v>
      </c>
      <c r="AR142" s="1">
        <f>S142*T142*AC142*AE142*AL142</f>
        <v>0</v>
      </c>
      <c r="AS142" s="8">
        <f>S142*T142*AC142*AE142*AM142</f>
        <v>0</v>
      </c>
      <c r="AT142" s="1"/>
    </row>
    <row r="143" spans="1:4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3">
        <v>0</v>
      </c>
      <c r="K143" s="3">
        <v>1</v>
      </c>
      <c r="L143" s="1" cm="1">
        <f t="array" ref="L143">INDEX(B:B, 14 + INT((ROW()-14)/8)*8)*J143
+ INDEX(C:C, 14 + INT((ROW()-14)/8)*8)*K143
+ INDEX(A:A, 14 + INT((ROW()-14)/8)*8)</f>
        <v>-3.4598737522229035</v>
      </c>
      <c r="M143" s="1" cm="1">
        <f t="array" ref="M143">INDEX(E:E, 14 + INT((ROW()-14)/8)*8)*J143
+ INDEX(F:F, 14 + INT((ROW()-14)/8)*8)*K143
+ INDEX(D:D, 14 + INT((ROW()-14)/8)*8)</f>
        <v>-2.7086355404884968</v>
      </c>
      <c r="N143" s="1">
        <f t="shared" ref="N143:N145" si="336">1/(1+EXP(-L143))</f>
        <v>3.0475763285488049E-2</v>
      </c>
      <c r="O143" s="1">
        <f t="shared" ref="O143:O145" si="337">1/(1+EXP(-M143))</f>
        <v>6.2465711552104605E-2</v>
      </c>
      <c r="P143" s="1" cm="1">
        <f t="array" ref="P143">INDEX(H:H, 14 + INT((ROW()-14)/8)*8)*N143
+ INDEX(I:I, 14 + INT((ROW()-14)/8)*8)*O143
+ INDEX(G:G, 14 + INT((ROW()-14)/8)*8)</f>
        <v>1.5238335731069603</v>
      </c>
      <c r="Q143" s="1">
        <f t="shared" ref="Q143:Q145" si="338">1/(1+EXP(-P143))</f>
        <v>0.82110230020027364</v>
      </c>
      <c r="R143" s="8">
        <f>($C$5-Q143)^2</f>
        <v>3.2004386993633012E-2</v>
      </c>
      <c r="S143" s="1">
        <f>2*(Q143-$C$5)</f>
        <v>-0.35779539959945272</v>
      </c>
      <c r="T143" s="1">
        <f t="shared" ref="T143:T145" si="339">Q143*(1-Q143)</f>
        <v>0.14689331280609336</v>
      </c>
      <c r="U143" s="1">
        <v>1</v>
      </c>
      <c r="V143" s="1">
        <f t="shared" ref="V143:V145" si="340">N143</f>
        <v>3.0475763285488049E-2</v>
      </c>
      <c r="W143" s="8">
        <f t="shared" ref="W143:W145" si="341">O143</f>
        <v>6.2465711552104605E-2</v>
      </c>
      <c r="X143" s="1">
        <f t="shared" ref="X143:X145" si="342">S143*T143*U143</f>
        <v>-5.2557751553943578E-2</v>
      </c>
      <c r="Y143" s="1">
        <f t="shared" ref="Y143:Y145" si="343">S143*T143*V143</f>
        <v>-1.6017375951754762E-3</v>
      </c>
      <c r="Z143" s="8">
        <f t="shared" ref="Z143:Z145" si="344">S143*T143*W143</f>
        <v>-3.2830573483958172E-3</v>
      </c>
      <c r="AA143" s="1">
        <f>2*(Q143-$C$5)</f>
        <v>-0.35779539959945272</v>
      </c>
      <c r="AB143" s="1" cm="1">
        <f t="array" ref="AB143">INDEX(H:H, 14 + INT((ROW()-14)/8)*8)</f>
        <v>-4.4501941720189881</v>
      </c>
      <c r="AC143" s="1" cm="1">
        <f t="array" ref="AC143">INDEX(I:I, 14 + INT((ROW()-14)/8)*8)</f>
        <v>-3.3984354841094491</v>
      </c>
      <c r="AD143" s="1">
        <f t="shared" ref="AD143:AD145" si="345">N143*(1-N143)</f>
        <v>2.9546991137654948E-2</v>
      </c>
      <c r="AE143" s="1">
        <f t="shared" ref="AE143:AE145" si="346" xml:space="preserve"> O143*(1-O143)</f>
        <v>5.8563746432393871E-2</v>
      </c>
      <c r="AF143" s="1">
        <v>1</v>
      </c>
      <c r="AG143" s="1">
        <f t="shared" ref="AG143:AG145" si="347">J143</f>
        <v>0</v>
      </c>
      <c r="AH143" s="1">
        <f t="shared" ref="AH143:AH145" si="348">K143</f>
        <v>1</v>
      </c>
      <c r="AI143" s="1"/>
      <c r="AJ143" s="1"/>
      <c r="AK143" s="1">
        <v>1</v>
      </c>
      <c r="AL143" s="1">
        <f t="shared" ref="AL143:AL145" si="349">J143</f>
        <v>0</v>
      </c>
      <c r="AM143" s="8">
        <f t="shared" ref="AM143:AM145" si="350">K143</f>
        <v>1</v>
      </c>
      <c r="AN143" s="1">
        <f t="shared" ref="AN143:AN145" si="351">S143*T143*AB143*AD143*AF143</f>
        <v>6.9108107505141897E-3</v>
      </c>
      <c r="AO143" s="1">
        <f t="shared" ref="AO143:AO145" si="352">S143*T143*AB143*AD143*AG143</f>
        <v>0</v>
      </c>
      <c r="AP143" s="1">
        <f t="shared" ref="AP143:AP145" si="353">S143*T143*AB143*AD143*AH143</f>
        <v>6.9108107505141897E-3</v>
      </c>
      <c r="AQ143" s="1">
        <f t="shared" ref="AQ143:AQ145" si="354">S143*T143*AC143*AE143*AK143</f>
        <v>1.0460312492412249E-2</v>
      </c>
      <c r="AR143" s="1">
        <f t="shared" ref="AR143:AR145" si="355">S143*T143*AC143*AE143*AL143</f>
        <v>0</v>
      </c>
      <c r="AS143" s="8">
        <f t="shared" ref="AS143:AS145" si="356">S143*T143*AC143*AE143*AM143</f>
        <v>1.0460312492412249E-2</v>
      </c>
      <c r="AT143" s="1"/>
    </row>
    <row r="144" spans="1:4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3">
        <v>1</v>
      </c>
      <c r="K144" s="3">
        <v>0</v>
      </c>
      <c r="L144" s="1" cm="1">
        <f t="array" ref="L144">INDEX(B:B, 14 + INT((ROW()-14)/8)*8)*J144
+ INDEX(C:C, 14 + INT((ROW()-14)/8)*8)*K144
+ INDEX(A:A, 14 + INT((ROW()-14)/8)*8)</f>
        <v>-1.4790855682269077</v>
      </c>
      <c r="M144" s="1" cm="1">
        <f t="array" ref="M144">INDEX(E:E, 14 + INT((ROW()-14)/8)*8)*J144
+ INDEX(F:F, 14 + INT((ROW()-14)/8)*8)*K144
+ INDEX(D:D, 14 + INT((ROW()-14)/8)*8)</f>
        <v>-2.8249880855624596</v>
      </c>
      <c r="N144" s="1">
        <f t="shared" si="336"/>
        <v>0.18556557854195185</v>
      </c>
      <c r="O144" s="1">
        <f t="shared" si="337"/>
        <v>5.5988708783853654E-2</v>
      </c>
      <c r="P144" s="1" cm="1">
        <f t="array" ref="P144">INDEX(H:H, 14 + INT((ROW()-14)/8)*8)*N144
+ INDEX(I:I, 14 + INT((ROW()-14)/8)*8)*O144
+ INDEX(G:G, 14 + INT((ROW()-14)/8)*8)</f>
        <v>0.85566545715144282</v>
      </c>
      <c r="Q144" s="1">
        <f t="shared" si="338"/>
        <v>0.70175424931476538</v>
      </c>
      <c r="R144" s="8">
        <f>($C$6-Q144)^2</f>
        <v>8.8950527801799129E-2</v>
      </c>
      <c r="S144" s="1">
        <f>2*(Q144-$C$6)</f>
        <v>-0.59649150137046925</v>
      </c>
      <c r="T144" s="1">
        <f t="shared" si="339"/>
        <v>0.20929522288343549</v>
      </c>
      <c r="U144" s="1">
        <v>1</v>
      </c>
      <c r="V144" s="1">
        <f t="shared" si="340"/>
        <v>0.18556557854195185</v>
      </c>
      <c r="W144" s="8">
        <f t="shared" si="341"/>
        <v>5.5988708783853654E-2</v>
      </c>
      <c r="X144" s="1">
        <f t="shared" si="342"/>
        <v>-0.12484282172740743</v>
      </c>
      <c r="Y144" s="1">
        <f t="shared" si="343"/>
        <v>-2.3166530440656117E-2</v>
      </c>
      <c r="Z144" s="8">
        <f t="shared" si="344"/>
        <v>-6.9897883894503724E-3</v>
      </c>
      <c r="AA144" s="1">
        <f>2*(Q144-$C$6)</f>
        <v>-0.59649150137046925</v>
      </c>
      <c r="AB144" s="1" cm="1">
        <f t="array" ref="AB144">INDEX(H:H, 14 + INT((ROW()-14)/8)*8)</f>
        <v>-4.4501941720189881</v>
      </c>
      <c r="AC144" s="1" cm="1">
        <f t="array" ref="AC144">INDEX(I:I, 14 + INT((ROW()-14)/8)*8)</f>
        <v>-3.3984354841094491</v>
      </c>
      <c r="AD144" s="1">
        <f t="shared" si="345"/>
        <v>0.15113099460234256</v>
      </c>
      <c r="AE144" s="1">
        <f t="shared" si="346"/>
        <v>5.2853973272570486E-2</v>
      </c>
      <c r="AF144" s="1">
        <v>1</v>
      </c>
      <c r="AG144" s="1">
        <f t="shared" si="347"/>
        <v>1</v>
      </c>
      <c r="AH144" s="1">
        <f t="shared" si="348"/>
        <v>0</v>
      </c>
      <c r="AI144" s="1"/>
      <c r="AJ144" s="1"/>
      <c r="AK144" s="1">
        <v>1</v>
      </c>
      <c r="AL144" s="1">
        <f t="shared" si="349"/>
        <v>1</v>
      </c>
      <c r="AM144" s="8">
        <f t="shared" si="350"/>
        <v>0</v>
      </c>
      <c r="AN144" s="1">
        <f t="shared" si="351"/>
        <v>8.3964571747819114E-2</v>
      </c>
      <c r="AO144" s="1">
        <f t="shared" si="352"/>
        <v>8.3964571747819114E-2</v>
      </c>
      <c r="AP144" s="1">
        <f t="shared" si="353"/>
        <v>0</v>
      </c>
      <c r="AQ144" s="1">
        <f t="shared" si="354"/>
        <v>2.2424369790775976E-2</v>
      </c>
      <c r="AR144" s="1">
        <f t="shared" si="355"/>
        <v>2.2424369790775976E-2</v>
      </c>
      <c r="AS144" s="8">
        <f t="shared" si="356"/>
        <v>0</v>
      </c>
      <c r="AT144" s="1"/>
    </row>
    <row r="145" spans="1:4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3">
        <v>1</v>
      </c>
      <c r="K145" s="3">
        <v>1</v>
      </c>
      <c r="L145" s="1" cm="1">
        <f t="array" ref="L145">INDEX(B:B, 14 + INT((ROW()-14)/8)*8)*J145
+ INDEX(C:C, 14 + INT((ROW()-14)/8)*8)*K145
+ INDEX(A:A, 14 + INT((ROW()-14)/8)*8)</f>
        <v>0.83768293598803378</v>
      </c>
      <c r="M145" s="1" cm="1">
        <f t="array" ref="M145">INDEX(E:E, 14 + INT((ROW()-14)/8)*8)*J145
+ INDEX(F:F, 14 + INT((ROW()-14)/8)*8)*K145
+ INDEX(D:D, 14 + INT((ROW()-14)/8)*8)</f>
        <v>-8.0417316226341171</v>
      </c>
      <c r="N145" s="1">
        <f t="shared" si="336"/>
        <v>0.6979769912459568</v>
      </c>
      <c r="O145" s="1">
        <f t="shared" si="337"/>
        <v>3.2164782498059403E-4</v>
      </c>
      <c r="P145" s="1" cm="1">
        <f t="array" ref="P145">INDEX(H:H, 14 + INT((ROW()-14)/8)*8)*N145
+ INDEX(I:I, 14 + INT((ROW()-14)/8)*8)*O145
+ INDEX(G:G, 14 + INT((ROW()-14)/8)*8)</f>
        <v>-1.2354839100812183</v>
      </c>
      <c r="Q145" s="1">
        <f t="shared" si="338"/>
        <v>0.22522305469484577</v>
      </c>
      <c r="R145" s="8">
        <f>($C$7-Q145)^2</f>
        <v>5.0725424366077486E-2</v>
      </c>
      <c r="S145" s="1">
        <f>2*(Q145-$C$7)</f>
        <v>0.45044610938969154</v>
      </c>
      <c r="T145" s="1">
        <f t="shared" si="339"/>
        <v>0.17449763032876831</v>
      </c>
      <c r="U145" s="1">
        <v>1</v>
      </c>
      <c r="V145" s="1">
        <f t="shared" si="340"/>
        <v>0.6979769912459568</v>
      </c>
      <c r="W145" s="8">
        <f t="shared" si="341"/>
        <v>3.2164782498059403E-4</v>
      </c>
      <c r="X145" s="1">
        <f t="shared" si="342"/>
        <v>7.8601778679314324E-2</v>
      </c>
      <c r="Y145" s="1">
        <f t="shared" si="343"/>
        <v>5.4862232989168411E-2</v>
      </c>
      <c r="Z145" s="8">
        <f t="shared" si="344"/>
        <v>2.5282091151807483E-5</v>
      </c>
      <c r="AA145" s="1">
        <f>2*(Q145-$C$7)</f>
        <v>0.45044610938969154</v>
      </c>
      <c r="AB145" s="1" cm="1">
        <f t="array" ref="AB145">INDEX(H:H, 14 + INT((ROW()-14)/8)*8)</f>
        <v>-4.4501941720189881</v>
      </c>
      <c r="AC145" s="1" cm="1">
        <f t="array" ref="AC145">INDEX(I:I, 14 + INT((ROW()-14)/8)*8)</f>
        <v>-3.3984354841094491</v>
      </c>
      <c r="AD145" s="1">
        <f t="shared" si="345"/>
        <v>0.21080511093719834</v>
      </c>
      <c r="AE145" s="1">
        <f t="shared" si="346"/>
        <v>3.2154436765727929E-4</v>
      </c>
      <c r="AF145" s="1">
        <v>1</v>
      </c>
      <c r="AG145" s="1">
        <f t="shared" si="347"/>
        <v>1</v>
      </c>
      <c r="AH145" s="1">
        <f t="shared" si="348"/>
        <v>1</v>
      </c>
      <c r="AI145" s="1"/>
      <c r="AJ145" s="1"/>
      <c r="AK145" s="1">
        <v>1</v>
      </c>
      <c r="AL145" s="1">
        <f t="shared" si="349"/>
        <v>1</v>
      </c>
      <c r="AM145" s="8">
        <f t="shared" si="350"/>
        <v>1</v>
      </c>
      <c r="AN145" s="1">
        <f t="shared" si="351"/>
        <v>-7.3738189564565543E-2</v>
      </c>
      <c r="AO145" s="1">
        <f t="shared" si="352"/>
        <v>-7.3738189564565543E-2</v>
      </c>
      <c r="AP145" s="1">
        <f t="shared" si="353"/>
        <v>-7.3738189564565543E-2</v>
      </c>
      <c r="AQ145" s="1">
        <f t="shared" si="354"/>
        <v>-8.5891919844583405E-5</v>
      </c>
      <c r="AR145" s="1">
        <f t="shared" si="355"/>
        <v>-8.5891919844583405E-5</v>
      </c>
      <c r="AS145" s="8">
        <f t="shared" si="356"/>
        <v>-8.5891919844583405E-5</v>
      </c>
      <c r="AT145" s="1"/>
    </row>
    <row r="146" spans="1:4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46">
        <f>SUM(R142:R145)</f>
        <v>0.21867115011411609</v>
      </c>
      <c r="S146" s="1"/>
      <c r="T146" s="1"/>
      <c r="U146" s="1"/>
      <c r="V146" s="1"/>
      <c r="W146" s="1"/>
      <c r="X146" s="1">
        <f>AVERAGE(X142:X145)</f>
        <v>-6.2974777400740568E-3</v>
      </c>
      <c r="Y146" s="1">
        <f>AVERAGE(Y142:Y145)</f>
        <v>7.5803454368448507E-3</v>
      </c>
      <c r="Z146" s="1">
        <f>AVERAGE(Z142:Z145)</f>
        <v>1.4454794942905365E-2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>
        <f>AVERAGE(AN142:AN145)</f>
        <v>4.032067699220921E-3</v>
      </c>
      <c r="AO146" s="1">
        <f>AVERAGE(AO142:AO145)</f>
        <v>2.5565955458133928E-3</v>
      </c>
      <c r="AP146" s="1">
        <f xml:space="preserve"> AVERAGE(AP142:AP145)</f>
        <v>-1.6706844703512837E-2</v>
      </c>
      <c r="AQ146" s="1">
        <f>AVERAGE(AQ142:AQ145)</f>
        <v>3.8455686117726913E-3</v>
      </c>
      <c r="AR146" s="1">
        <f>AVERAGE(AR142:AR145)</f>
        <v>5.584619467732848E-3</v>
      </c>
      <c r="AS146" s="1">
        <f>AVERAGE(AS142:AS145)</f>
        <v>2.5936051431419164E-3</v>
      </c>
      <c r="AT146" s="1"/>
    </row>
    <row r="147" spans="1:4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8"/>
      <c r="S147" s="36"/>
      <c r="T147" s="37"/>
      <c r="U147" s="37"/>
      <c r="V147" s="37"/>
      <c r="W147" s="37"/>
      <c r="X147" s="37"/>
      <c r="Y147" s="37"/>
      <c r="Z147" s="38"/>
      <c r="AA147" s="36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8"/>
      <c r="AS147" s="1"/>
    </row>
    <row r="148" spans="1:46" ht="15" thickBot="1" x14ac:dyDescent="0.35">
      <c r="A148" s="1" t="s">
        <v>38</v>
      </c>
      <c r="B148" s="1">
        <v>17</v>
      </c>
      <c r="C148" s="1"/>
      <c r="D148" s="1"/>
      <c r="E148" s="1"/>
      <c r="F148" s="1"/>
      <c r="G148" s="1"/>
      <c r="H148" s="1"/>
      <c r="I148" s="1"/>
      <c r="J148" s="30" t="s">
        <v>7</v>
      </c>
      <c r="K148" s="31"/>
      <c r="L148" s="30" t="s">
        <v>8</v>
      </c>
      <c r="M148" s="31"/>
      <c r="N148" s="30" t="s">
        <v>9</v>
      </c>
      <c r="O148" s="31"/>
      <c r="P148" s="1"/>
      <c r="Q148" s="9" t="s">
        <v>10</v>
      </c>
      <c r="R148" s="10" t="s">
        <v>11</v>
      </c>
      <c r="S148" s="1"/>
      <c r="T148" s="11"/>
      <c r="U148" s="23" t="s">
        <v>13</v>
      </c>
      <c r="V148" s="24"/>
      <c r="W148" s="26"/>
      <c r="X148" s="32" t="s">
        <v>12</v>
      </c>
      <c r="Y148" s="33"/>
      <c r="Z148" s="34"/>
      <c r="AA148" s="35"/>
      <c r="AB148" s="25"/>
      <c r="AC148" s="21"/>
      <c r="AD148" s="22"/>
      <c r="AE148" s="11"/>
      <c r="AF148" s="11"/>
      <c r="AG148" s="23" t="s">
        <v>44</v>
      </c>
      <c r="AH148" s="24"/>
      <c r="AI148" s="25"/>
      <c r="AJ148" s="17"/>
      <c r="AK148" s="17"/>
      <c r="AL148" s="23" t="s">
        <v>45</v>
      </c>
      <c r="AM148" s="24"/>
      <c r="AN148" s="26"/>
      <c r="AO148" s="27" t="s">
        <v>12</v>
      </c>
      <c r="AP148" s="28"/>
      <c r="AQ148" s="28"/>
      <c r="AR148" s="28"/>
      <c r="AS148" s="28"/>
      <c r="AT148" s="29"/>
    </row>
    <row r="149" spans="1:46" ht="15" thickBot="1" x14ac:dyDescent="0.35">
      <c r="A149" s="12" t="s">
        <v>14</v>
      </c>
      <c r="B149" s="12" t="s">
        <v>15</v>
      </c>
      <c r="C149" s="12" t="s">
        <v>16</v>
      </c>
      <c r="D149" s="12" t="s">
        <v>17</v>
      </c>
      <c r="E149" s="12" t="s">
        <v>18</v>
      </c>
      <c r="F149" s="12" t="s">
        <v>19</v>
      </c>
      <c r="G149" s="12" t="s">
        <v>20</v>
      </c>
      <c r="H149" s="12" t="s">
        <v>21</v>
      </c>
      <c r="I149" s="12" t="s">
        <v>22</v>
      </c>
      <c r="J149" s="12" t="s">
        <v>23</v>
      </c>
      <c r="K149" s="12" t="s">
        <v>24</v>
      </c>
      <c r="L149" s="12" t="s">
        <v>39</v>
      </c>
      <c r="M149" s="12" t="s">
        <v>40</v>
      </c>
      <c r="N149" s="12" t="s">
        <v>41</v>
      </c>
      <c r="O149" s="12" t="s">
        <v>42</v>
      </c>
      <c r="P149" s="12" t="s">
        <v>25</v>
      </c>
      <c r="Q149" s="12" t="s">
        <v>26</v>
      </c>
      <c r="R149" s="13" t="s">
        <v>27</v>
      </c>
      <c r="S149" s="12" t="s">
        <v>43</v>
      </c>
      <c r="T149" s="12" t="s">
        <v>31</v>
      </c>
      <c r="U149" s="12" t="s">
        <v>28</v>
      </c>
      <c r="V149" s="12" t="s">
        <v>29</v>
      </c>
      <c r="W149" s="13" t="s">
        <v>30</v>
      </c>
      <c r="X149" s="12" t="s">
        <v>28</v>
      </c>
      <c r="Y149" s="12" t="s">
        <v>29</v>
      </c>
      <c r="Z149" s="13" t="s">
        <v>30</v>
      </c>
      <c r="AA149" s="12" t="s">
        <v>50</v>
      </c>
      <c r="AB149" s="12" t="s">
        <v>48</v>
      </c>
      <c r="AC149" s="12" t="s">
        <v>49</v>
      </c>
      <c r="AD149" s="12" t="s">
        <v>46</v>
      </c>
      <c r="AE149" s="12" t="s">
        <v>47</v>
      </c>
      <c r="AF149" s="12" t="s">
        <v>32</v>
      </c>
      <c r="AG149" s="12" t="s">
        <v>33</v>
      </c>
      <c r="AH149" s="12" t="s">
        <v>34</v>
      </c>
      <c r="AI149" s="12"/>
      <c r="AJ149" s="12"/>
      <c r="AK149" s="12" t="s">
        <v>35</v>
      </c>
      <c r="AL149" s="12" t="s">
        <v>36</v>
      </c>
      <c r="AM149" s="13" t="s">
        <v>37</v>
      </c>
      <c r="AN149" s="12" t="s">
        <v>32</v>
      </c>
      <c r="AO149" s="12" t="s">
        <v>33</v>
      </c>
      <c r="AP149" s="12" t="s">
        <v>34</v>
      </c>
      <c r="AQ149" s="12" t="s">
        <v>35</v>
      </c>
      <c r="AR149" s="12" t="s">
        <v>36</v>
      </c>
      <c r="AS149" s="13" t="s">
        <v>37</v>
      </c>
      <c r="AT149" s="1"/>
    </row>
    <row r="150" spans="1:46" ht="15" thickBot="1" x14ac:dyDescent="0.35">
      <c r="A150" s="3" cm="1">
        <f t="array" ref="A150">INDEX(A:A, 14 + INT((ROW()-18)/8)*8)
 - $C$9 *
 INDEX(AN:AN, 18 + INT((ROW()-18)/8)*8)</f>
        <v>-5.7968025949339497</v>
      </c>
      <c r="B150" s="3" cm="1">
        <f t="array" ref="B150">INDEX(B:B, 14 + INT((ROW()-18)/8)*8)
 - $C$9 *
 INDEX(AO:AO, 18 + INT((ROW()-18)/8)*8)</f>
        <v>4.2847737104818702</v>
      </c>
      <c r="C150" s="3" cm="1">
        <f t="array" ref="C150">INDEX(C:C, 14 + INT((ROW()-18)/8)*8)
 - $C$9 *
 INDEX(AP:AP, 18 + INT((ROW()-18)/8)*8)</f>
        <v>2.4003027277325057</v>
      </c>
      <c r="D150" s="3" cm="1">
        <f t="array" ref="D150">INDEX(D:D, 14 + INT((ROW()-18)/8)*8)
 - $C$9 *
 INDEX(AQ:AQ, 18 + INT((ROW()-18)/8)*8)</f>
        <v>2.488880153524299</v>
      </c>
      <c r="E150" s="3" cm="1">
        <f t="array" ref="E150">INDEX(E:E, 14 + INT((ROW()-18)/8)*8)
 - $C$9 *
 INDEX(AR:AR, 18 + INT((ROW()-18)/8)*8)</f>
        <v>-5.3610191794842867</v>
      </c>
      <c r="F150" s="3" cm="1">
        <f t="array" ref="F150">INDEX(F:F, 14 + INT((ROW()-18)/8)*8)
 - $C$9 *
 INDEX(AS:AS, 18 + INT((ROW()-18)/8)*8)</f>
        <v>-5.2297115627873687</v>
      </c>
      <c r="G150" s="3" cm="1">
        <f t="array" ref="G150">INDEX(G:G, 14 + INT((ROW()-18)/8)*8)
 - $C$9 *
 INDEX(X:X, 18 + INT((ROW()-18)/8)*8)</f>
        <v>1.9032297166470578</v>
      </c>
      <c r="H150" s="3" cm="1">
        <f t="array" ref="H150">INDEX(H:H, 14 + INT((ROW()-18)/8)*8)
 - $C$9 *
 INDEX(Y:Y, 18 + INT((ROW()-18)/8)*8)</f>
        <v>-4.4880958992032127</v>
      </c>
      <c r="I150" s="3" cm="1">
        <f t="array" ref="I150">INDEX(I:I, 14 + INT((ROW()-18)/8)*8)
 - $C$9 *
 INDEX(Z:Z, 18 + INT((ROW()-18)/8)*8)</f>
        <v>-3.470709458823976</v>
      </c>
      <c r="J150" s="3">
        <v>0</v>
      </c>
      <c r="K150" s="3">
        <v>0</v>
      </c>
      <c r="L150" s="1" cm="1">
        <f t="array" ref="L150">INDEX(B:B, 14 + INT((ROW()-14)/8)*8)*J150
+ INDEX(C:C, 14 + INT((ROW()-14)/8)*8)*K150
+ INDEX(A:A, 14 + INT((ROW()-14)/8)*8)</f>
        <v>-5.7968025949339497</v>
      </c>
      <c r="M150" s="1" cm="1">
        <f t="array" ref="M150">INDEX(E:E, 14 + INT((ROW()-14)/8)*8)*J150
+ INDEX(F:F, 14 + INT((ROW()-14)/8)*8)*K150
+ INDEX(D:D, 14 + INT((ROW()-14)/8)*8)</f>
        <v>2.488880153524299</v>
      </c>
      <c r="N150" s="1">
        <f>1/(1+EXP(-L150))</f>
        <v>3.0280535992341915E-3</v>
      </c>
      <c r="O150" s="1">
        <f>1/(1+EXP(-M150))</f>
        <v>0.92335859147135824</v>
      </c>
      <c r="P150" s="1" cm="1">
        <f t="array" ref="P150">INDEX(H:H, 14 + INT((ROW()-14)/8)*8)*N150
+ INDEX(I:I, 14 + INT((ROW()-14)/8)*8)*O150
+ INDEX(G:G, 14 + INT((ROW()-14)/8)*8)</f>
        <v>-1.3150698756002592</v>
      </c>
      <c r="Q150" s="1">
        <f>1/(1+EXP(-P150))</f>
        <v>0.21163970712897301</v>
      </c>
      <c r="R150" s="8">
        <f>($C$4-Q150)^2</f>
        <v>4.4791365633637469E-2</v>
      </c>
      <c r="S150" s="1">
        <f>2*(Q150-$C$4)</f>
        <v>0.42327941425794602</v>
      </c>
      <c r="T150" s="1">
        <f>Q150*(1-Q150)</f>
        <v>0.16684834149533553</v>
      </c>
      <c r="U150" s="1">
        <v>1</v>
      </c>
      <c r="V150" s="1">
        <f>N150</f>
        <v>3.0280535992341915E-3</v>
      </c>
      <c r="W150" s="8">
        <f>O150</f>
        <v>0.92335859147135824</v>
      </c>
      <c r="X150" s="1">
        <f>S150*T150*U150</f>
        <v>7.0623468258055377E-2</v>
      </c>
      <c r="Y150" s="1">
        <f>S150*T150*V150</f>
        <v>2.1385164724920625E-4</v>
      </c>
      <c r="Z150" s="8">
        <f>S150*T150*W150</f>
        <v>6.5210786175580196E-2</v>
      </c>
      <c r="AA150" s="1">
        <f>2*(Q150-$C$4)</f>
        <v>0.42327941425794602</v>
      </c>
      <c r="AB150" s="1" cm="1">
        <f t="array" ref="AB150">INDEX(H:H, 14 + INT((ROW()-14)/8)*8)</f>
        <v>-4.4880958992032127</v>
      </c>
      <c r="AC150" s="1" cm="1">
        <f t="array" ref="AC150">INDEX(I:I, 14 + INT((ROW()-14)/8)*8)</f>
        <v>-3.470709458823976</v>
      </c>
      <c r="AD150" s="1">
        <f>N150*(1-N150)</f>
        <v>3.0188844906343564E-3</v>
      </c>
      <c r="AE150" s="1">
        <f xml:space="preserve"> O150*(1-O150)</f>
        <v>7.0767503027387602E-2</v>
      </c>
      <c r="AF150" s="1">
        <v>1</v>
      </c>
      <c r="AG150" s="1">
        <f>J150</f>
        <v>0</v>
      </c>
      <c r="AH150" s="1">
        <f>K150</f>
        <v>0</v>
      </c>
      <c r="AI150" s="1"/>
      <c r="AJ150" s="1"/>
      <c r="AK150" s="1">
        <v>1</v>
      </c>
      <c r="AL150" s="1">
        <f>J150</f>
        <v>0</v>
      </c>
      <c r="AM150" s="8">
        <f>K150</f>
        <v>0</v>
      </c>
      <c r="AN150" s="1">
        <f>S150*T150*AB150*AD150*AF150</f>
        <v>-9.568804154823818E-4</v>
      </c>
      <c r="AO150" s="1">
        <f>S150*T150*AB150*AD150*AG150</f>
        <v>0</v>
      </c>
      <c r="AP150" s="1">
        <f>S150*T150*AB150*AD150*AH150</f>
        <v>0</v>
      </c>
      <c r="AQ150" s="1">
        <f>S150*T150*AC150*AE150*AK150</f>
        <v>-1.7346073134338183E-2</v>
      </c>
      <c r="AR150" s="1">
        <f>S150*T150*AC150*AE150*AL150</f>
        <v>0</v>
      </c>
      <c r="AS150" s="8">
        <f>S150*T150*AC150*AE150*AM150</f>
        <v>0</v>
      </c>
      <c r="AT150" s="1"/>
    </row>
    <row r="151" spans="1:4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3">
        <v>0</v>
      </c>
      <c r="K151" s="3">
        <v>1</v>
      </c>
      <c r="L151" s="1" cm="1">
        <f t="array" ref="L151">INDEX(B:B, 14 + INT((ROW()-14)/8)*8)*J151
+ INDEX(C:C, 14 + INT((ROW()-14)/8)*8)*K151
+ INDEX(A:A, 14 + INT((ROW()-14)/8)*8)</f>
        <v>-3.3964998672014439</v>
      </c>
      <c r="M151" s="1" cm="1">
        <f t="array" ref="M151">INDEX(E:E, 14 + INT((ROW()-14)/8)*8)*J151
+ INDEX(F:F, 14 + INT((ROW()-14)/8)*8)*K151
+ INDEX(D:D, 14 + INT((ROW()-14)/8)*8)</f>
        <v>-2.7408314092630697</v>
      </c>
      <c r="N151" s="1">
        <f t="shared" ref="N151:N153" si="357">1/(1+EXP(-L151))</f>
        <v>3.240503173798906E-2</v>
      </c>
      <c r="O151" s="1">
        <f t="shared" ref="O151:O153" si="358">1/(1+EXP(-M151))</f>
        <v>6.0606551066183532E-2</v>
      </c>
      <c r="P151" s="1" cm="1">
        <f t="array" ref="P151">INDEX(H:H, 14 + INT((ROW()-14)/8)*8)*N151
+ INDEX(I:I, 14 + INT((ROW()-14)/8)*8)*O151
+ INDEX(G:G, 14 + INT((ROW()-14)/8)*8)</f>
        <v>1.5474450965381377</v>
      </c>
      <c r="Q151" s="1">
        <f t="shared" ref="Q151:Q153" si="359">1/(1+EXP(-P151))</f>
        <v>0.82454441802815337</v>
      </c>
      <c r="R151" s="8">
        <f>($C$5-Q151)^2</f>
        <v>3.0784661245079392E-2</v>
      </c>
      <c r="S151" s="1">
        <f>2*(Q151-$C$5)</f>
        <v>-0.35091116394369326</v>
      </c>
      <c r="T151" s="1">
        <f t="shared" ref="T151:T153" si="360">Q151*(1-Q151)</f>
        <v>0.14467092072676724</v>
      </c>
      <c r="U151" s="1">
        <v>1</v>
      </c>
      <c r="V151" s="1">
        <f t="shared" ref="V151:V153" si="361">N151</f>
        <v>3.240503173798906E-2</v>
      </c>
      <c r="W151" s="8">
        <f t="shared" ref="W151:W153" si="362">O151</f>
        <v>6.0606551066183532E-2</v>
      </c>
      <c r="X151" s="1">
        <f t="shared" ref="X151:X153" si="363">S151*T151*U151</f>
        <v>-5.0766641181035667E-2</v>
      </c>
      <c r="Y151" s="1">
        <f t="shared" ref="Y151:Y153" si="364">S151*T151*V151</f>
        <v>-1.6450946187025631E-3</v>
      </c>
      <c r="Z151" s="8">
        <f t="shared" ref="Z151:Z153" si="365">S151*T151*W151</f>
        <v>-3.0767910311970542E-3</v>
      </c>
      <c r="AA151" s="1">
        <f>2*(Q151-$C$5)</f>
        <v>-0.35091116394369326</v>
      </c>
      <c r="AB151" s="1" cm="1">
        <f t="array" ref="AB151">INDEX(H:H, 14 + INT((ROW()-14)/8)*8)</f>
        <v>-4.4880958992032127</v>
      </c>
      <c r="AC151" s="1" cm="1">
        <f t="array" ref="AC151">INDEX(I:I, 14 + INT((ROW()-14)/8)*8)</f>
        <v>-3.470709458823976</v>
      </c>
      <c r="AD151" s="1">
        <f t="shared" ref="AD151:AD153" si="366">N151*(1-N151)</f>
        <v>3.1354945656048981E-2</v>
      </c>
      <c r="AE151" s="1">
        <f t="shared" ref="AE151:AE153" si="367" xml:space="preserve"> O151*(1-O151)</f>
        <v>5.6933397034045624E-2</v>
      </c>
      <c r="AF151" s="1">
        <v>1</v>
      </c>
      <c r="AG151" s="1">
        <f t="shared" ref="AG151:AG153" si="368">J151</f>
        <v>0</v>
      </c>
      <c r="AH151" s="1">
        <f t="shared" ref="AH151:AH153" si="369">K151</f>
        <v>1</v>
      </c>
      <c r="AI151" s="1"/>
      <c r="AJ151" s="1"/>
      <c r="AK151" s="1">
        <v>1</v>
      </c>
      <c r="AL151" s="1">
        <f t="shared" ref="AL151:AL153" si="370">J151</f>
        <v>0</v>
      </c>
      <c r="AM151" s="8">
        <f t="shared" ref="AM151:AM153" si="371">K151</f>
        <v>1</v>
      </c>
      <c r="AN151" s="1">
        <f t="shared" ref="AN151:AN153" si="372">S151*T151*AB151*AD151*AF151</f>
        <v>7.1440849668069385E-3</v>
      </c>
      <c r="AO151" s="1">
        <f t="shared" ref="AO151:AO153" si="373">S151*T151*AB151*AD151*AG151</f>
        <v>0</v>
      </c>
      <c r="AP151" s="1">
        <f t="shared" ref="AP151:AP153" si="374">S151*T151*AB151*AD151*AH151</f>
        <v>7.1440849668069385E-3</v>
      </c>
      <c r="AQ151" s="1">
        <f t="shared" ref="AQ151:AQ153" si="375">S151*T151*AC151*AE151*AK151</f>
        <v>1.0031451725543426E-2</v>
      </c>
      <c r="AR151" s="1">
        <f t="shared" ref="AR151:AR153" si="376">S151*T151*AC151*AE151*AL151</f>
        <v>0</v>
      </c>
      <c r="AS151" s="8">
        <f t="shared" ref="AS151:AS153" si="377">S151*T151*AC151*AE151*AM151</f>
        <v>1.0031451725543426E-2</v>
      </c>
      <c r="AT151" s="1"/>
    </row>
    <row r="152" spans="1:4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3">
        <v>1</v>
      </c>
      <c r="K152" s="3">
        <v>0</v>
      </c>
      <c r="L152" s="1" cm="1">
        <f t="array" ref="L152">INDEX(B:B, 14 + INT((ROW()-14)/8)*8)*J152
+ INDEX(C:C, 14 + INT((ROW()-14)/8)*8)*K152
+ INDEX(A:A, 14 + INT((ROW()-14)/8)*8)</f>
        <v>-1.5120288844520795</v>
      </c>
      <c r="M152" s="1" cm="1">
        <f t="array" ref="M152">INDEX(E:E, 14 + INT((ROW()-14)/8)*8)*J152
+ INDEX(F:F, 14 + INT((ROW()-14)/8)*8)*K152
+ INDEX(D:D, 14 + INT((ROW()-14)/8)*8)</f>
        <v>-2.8721390259599877</v>
      </c>
      <c r="N152" s="1">
        <f t="shared" si="357"/>
        <v>0.18063830720447085</v>
      </c>
      <c r="O152" s="1">
        <f t="shared" si="358"/>
        <v>5.3548141010161761E-2</v>
      </c>
      <c r="P152" s="1" cm="1">
        <f t="array" ref="P152">INDEX(H:H, 14 + INT((ROW()-14)/8)*8)*N152
+ INDEX(I:I, 14 + INT((ROW()-14)/8)*8)*O152
+ INDEX(G:G, 14 + INT((ROW()-14)/8)*8)</f>
        <v>0.90665763133725352</v>
      </c>
      <c r="Q152" s="1">
        <f t="shared" si="359"/>
        <v>0.71231572411034216</v>
      </c>
      <c r="R152" s="8">
        <f>($C$6-Q152)^2</f>
        <v>8.2762242594156765E-2</v>
      </c>
      <c r="S152" s="1">
        <f>2*(Q152-$C$6)</f>
        <v>-0.57536855177931567</v>
      </c>
      <c r="T152" s="1">
        <f t="shared" si="360"/>
        <v>0.20492203329550107</v>
      </c>
      <c r="U152" s="1">
        <v>1</v>
      </c>
      <c r="V152" s="1">
        <f t="shared" si="361"/>
        <v>0.18063830720447085</v>
      </c>
      <c r="W152" s="8">
        <f t="shared" si="362"/>
        <v>5.3548141010161761E-2</v>
      </c>
      <c r="X152" s="1">
        <f t="shared" si="363"/>
        <v>-0.11790569352490515</v>
      </c>
      <c r="Y152" s="1">
        <f t="shared" si="364"/>
        <v>-2.1298284888108008E-2</v>
      </c>
      <c r="Z152" s="8">
        <f t="shared" si="365"/>
        <v>-6.3136307027725378E-3</v>
      </c>
      <c r="AA152" s="1">
        <f>2*(Q152-$C$6)</f>
        <v>-0.57536855177931567</v>
      </c>
      <c r="AB152" s="1" cm="1">
        <f t="array" ref="AB152">INDEX(H:H, 14 + INT((ROW()-14)/8)*8)</f>
        <v>-4.4880958992032127</v>
      </c>
      <c r="AC152" s="1" cm="1">
        <f t="array" ref="AC152">INDEX(I:I, 14 + INT((ROW()-14)/8)*8)</f>
        <v>-3.470709458823976</v>
      </c>
      <c r="AD152" s="1">
        <f t="shared" si="366"/>
        <v>0.14800810917477408</v>
      </c>
      <c r="AE152" s="1">
        <f t="shared" si="367"/>
        <v>5.0680737604517592E-2</v>
      </c>
      <c r="AF152" s="1">
        <v>1</v>
      </c>
      <c r="AG152" s="1">
        <f t="shared" si="368"/>
        <v>1</v>
      </c>
      <c r="AH152" s="1">
        <f t="shared" si="369"/>
        <v>0</v>
      </c>
      <c r="AI152" s="1"/>
      <c r="AJ152" s="1"/>
      <c r="AK152" s="1">
        <v>1</v>
      </c>
      <c r="AL152" s="1">
        <f t="shared" si="370"/>
        <v>1</v>
      </c>
      <c r="AM152" s="8">
        <f t="shared" si="371"/>
        <v>0</v>
      </c>
      <c r="AN152" s="1">
        <f t="shared" si="372"/>
        <v>7.8321755969788853E-2</v>
      </c>
      <c r="AO152" s="1">
        <f t="shared" si="373"/>
        <v>7.8321755969788853E-2</v>
      </c>
      <c r="AP152" s="1">
        <f t="shared" si="374"/>
        <v>0</v>
      </c>
      <c r="AQ152" s="1">
        <f t="shared" si="375"/>
        <v>2.0739389284094963E-2</v>
      </c>
      <c r="AR152" s="1">
        <f t="shared" si="376"/>
        <v>2.0739389284094963E-2</v>
      </c>
      <c r="AS152" s="8">
        <f t="shared" si="377"/>
        <v>0</v>
      </c>
      <c r="AT152" s="1"/>
    </row>
    <row r="153" spans="1:4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3">
        <v>1</v>
      </c>
      <c r="K153" s="3">
        <v>1</v>
      </c>
      <c r="L153" s="1" cm="1">
        <f t="array" ref="L153">INDEX(B:B, 14 + INT((ROW()-14)/8)*8)*J153
+ INDEX(C:C, 14 + INT((ROW()-14)/8)*8)*K153
+ INDEX(A:A, 14 + INT((ROW()-14)/8)*8)</f>
        <v>0.8882738432804258</v>
      </c>
      <c r="M153" s="1" cm="1">
        <f t="array" ref="M153">INDEX(E:E, 14 + INT((ROW()-14)/8)*8)*J153
+ INDEX(F:F, 14 + INT((ROW()-14)/8)*8)*K153
+ INDEX(D:D, 14 + INT((ROW()-14)/8)*8)</f>
        <v>-8.1018505887473573</v>
      </c>
      <c r="N153" s="1">
        <f t="shared" si="357"/>
        <v>0.70853382601258919</v>
      </c>
      <c r="O153" s="1">
        <f t="shared" si="358"/>
        <v>3.0288616358379949E-4</v>
      </c>
      <c r="P153" s="1" cm="1">
        <f t="array" ref="P153">INDEX(H:H, 14 + INT((ROW()-14)/8)*8)*N153
+ INDEX(I:I, 14 + INT((ROW()-14)/8)*8)*O153
+ INDEX(G:G, 14 + INT((ROW()-14)/8)*8)</f>
        <v>-1.2777892721997035</v>
      </c>
      <c r="Q153" s="1">
        <f t="shared" si="359"/>
        <v>0.21792677332987054</v>
      </c>
      <c r="R153" s="8">
        <f>($C$7-Q153)^2</f>
        <v>4.7492078533968772E-2</v>
      </c>
      <c r="S153" s="1">
        <f>2*(Q153-$C$7)</f>
        <v>0.43585354665974108</v>
      </c>
      <c r="T153" s="1">
        <f t="shared" si="360"/>
        <v>0.17043469479590176</v>
      </c>
      <c r="U153" s="1">
        <v>1</v>
      </c>
      <c r="V153" s="1">
        <f t="shared" si="361"/>
        <v>0.70853382601258919</v>
      </c>
      <c r="W153" s="8">
        <f t="shared" si="362"/>
        <v>3.0288616358379949E-4</v>
      </c>
      <c r="X153" s="1">
        <f t="shared" si="363"/>
        <v>7.4284566200664301E-2</v>
      </c>
      <c r="Y153" s="1">
        <f t="shared" si="364"/>
        <v>5.2633127903842142E-2</v>
      </c>
      <c r="Z153" s="8">
        <f t="shared" si="365"/>
        <v>2.249976727000599E-5</v>
      </c>
      <c r="AA153" s="1">
        <f>2*(Q153-$C$7)</f>
        <v>0.43585354665974108</v>
      </c>
      <c r="AB153" s="1" cm="1">
        <f t="array" ref="AB153">INDEX(H:H, 14 + INT((ROW()-14)/8)*8)</f>
        <v>-4.4880958992032127</v>
      </c>
      <c r="AC153" s="1" cm="1">
        <f t="array" ref="AC153">INDEX(I:I, 14 + INT((ROW()-14)/8)*8)</f>
        <v>-3.470709458823976</v>
      </c>
      <c r="AD153" s="1">
        <f t="shared" si="366"/>
        <v>0.20651364340855119</v>
      </c>
      <c r="AE153" s="1">
        <f t="shared" si="367"/>
        <v>3.0279442355570901E-4</v>
      </c>
      <c r="AF153" s="1">
        <v>1</v>
      </c>
      <c r="AG153" s="1">
        <f t="shared" si="368"/>
        <v>1</v>
      </c>
      <c r="AH153" s="1">
        <f t="shared" si="369"/>
        <v>1</v>
      </c>
      <c r="AI153" s="1"/>
      <c r="AJ153" s="1"/>
      <c r="AK153" s="1">
        <v>1</v>
      </c>
      <c r="AL153" s="1">
        <f t="shared" si="370"/>
        <v>1</v>
      </c>
      <c r="AM153" s="8">
        <f t="shared" si="371"/>
        <v>1</v>
      </c>
      <c r="AN153" s="1">
        <f t="shared" si="372"/>
        <v>-6.8850875719306454E-2</v>
      </c>
      <c r="AO153" s="1">
        <f t="shared" si="373"/>
        <v>-6.8850875719306454E-2</v>
      </c>
      <c r="AP153" s="1">
        <f t="shared" si="374"/>
        <v>-6.8850875719306454E-2</v>
      </c>
      <c r="AQ153" s="1">
        <f t="shared" si="375"/>
        <v>-7.8066502657860438E-5</v>
      </c>
      <c r="AR153" s="1">
        <f t="shared" si="376"/>
        <v>-7.8066502657860438E-5</v>
      </c>
      <c r="AS153" s="8">
        <f t="shared" si="377"/>
        <v>-7.8066502657860438E-5</v>
      </c>
      <c r="AT153" s="1"/>
    </row>
    <row r="154" spans="1:4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46">
        <f>SUM(R150:R153)</f>
        <v>0.20583034800684241</v>
      </c>
      <c r="S154" s="1"/>
      <c r="T154" s="1"/>
      <c r="U154" s="1"/>
      <c r="V154" s="1"/>
      <c r="W154" s="1"/>
      <c r="X154" s="1">
        <f>AVERAGE(X150:X153)</f>
        <v>-5.9410750618052836E-3</v>
      </c>
      <c r="Y154" s="1">
        <f>AVERAGE(Y150:Y153)</f>
        <v>7.475900011070194E-3</v>
      </c>
      <c r="Z154" s="1">
        <f>AVERAGE(Z150:Z153)</f>
        <v>1.3960716052220153E-2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>
        <f>AVERAGE(AN150:AN153)</f>
        <v>3.9145212004517392E-3</v>
      </c>
      <c r="AO154" s="1">
        <f>AVERAGE(AO150:AO153)</f>
        <v>2.3677200626205999E-3</v>
      </c>
      <c r="AP154" s="1">
        <f xml:space="preserve"> AVERAGE(AP150:AP153)</f>
        <v>-1.542669768812488E-2</v>
      </c>
      <c r="AQ154" s="1">
        <f>AVERAGE(AQ150:AQ153)</f>
        <v>3.3366753431605866E-3</v>
      </c>
      <c r="AR154" s="1">
        <f>AVERAGE(AR150:AR153)</f>
        <v>5.1653306953592755E-3</v>
      </c>
      <c r="AS154" s="1">
        <f>AVERAGE(AS150:AS153)</f>
        <v>2.4883463057213916E-3</v>
      </c>
      <c r="AT154" s="1"/>
    </row>
    <row r="155" spans="1:4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6" ht="15" thickBot="1" x14ac:dyDescent="0.35">
      <c r="A156" s="1" t="s">
        <v>38</v>
      </c>
      <c r="B156" s="1">
        <v>18</v>
      </c>
      <c r="C156" s="1"/>
      <c r="D156" s="1"/>
      <c r="E156" s="1"/>
      <c r="F156" s="1"/>
      <c r="G156" s="1"/>
      <c r="H156" s="1"/>
      <c r="I156" s="1"/>
      <c r="J156" s="30" t="s">
        <v>7</v>
      </c>
      <c r="K156" s="31"/>
      <c r="L156" s="30" t="s">
        <v>8</v>
      </c>
      <c r="M156" s="31"/>
      <c r="N156" s="30" t="s">
        <v>9</v>
      </c>
      <c r="O156" s="31"/>
      <c r="P156" s="1"/>
      <c r="Q156" s="9" t="s">
        <v>10</v>
      </c>
      <c r="R156" s="10" t="s">
        <v>11</v>
      </c>
      <c r="S156" s="1"/>
      <c r="T156" s="11"/>
      <c r="U156" s="23" t="s">
        <v>13</v>
      </c>
      <c r="V156" s="24"/>
      <c r="W156" s="26"/>
      <c r="X156" s="32" t="s">
        <v>12</v>
      </c>
      <c r="Y156" s="33"/>
      <c r="Z156" s="34"/>
      <c r="AA156" s="35"/>
      <c r="AB156" s="25"/>
      <c r="AC156" s="21"/>
      <c r="AD156" s="22"/>
      <c r="AE156" s="11"/>
      <c r="AF156" s="11"/>
      <c r="AG156" s="23" t="s">
        <v>44</v>
      </c>
      <c r="AH156" s="24"/>
      <c r="AI156" s="25"/>
      <c r="AJ156" s="17"/>
      <c r="AK156" s="17"/>
      <c r="AL156" s="23" t="s">
        <v>45</v>
      </c>
      <c r="AM156" s="24"/>
      <c r="AN156" s="26"/>
      <c r="AO156" s="27" t="s">
        <v>12</v>
      </c>
      <c r="AP156" s="28"/>
      <c r="AQ156" s="28"/>
      <c r="AR156" s="28"/>
      <c r="AS156" s="28"/>
      <c r="AT156" s="29"/>
    </row>
    <row r="157" spans="1:46" ht="15" thickBot="1" x14ac:dyDescent="0.35">
      <c r="A157" s="12" t="s">
        <v>14</v>
      </c>
      <c r="B157" s="12" t="s">
        <v>15</v>
      </c>
      <c r="C157" s="12" t="s">
        <v>16</v>
      </c>
      <c r="D157" s="12" t="s">
        <v>17</v>
      </c>
      <c r="E157" s="12" t="s">
        <v>18</v>
      </c>
      <c r="F157" s="12" t="s">
        <v>19</v>
      </c>
      <c r="G157" s="12" t="s">
        <v>20</v>
      </c>
      <c r="H157" s="12" t="s">
        <v>21</v>
      </c>
      <c r="I157" s="12" t="s">
        <v>22</v>
      </c>
      <c r="J157" s="12" t="s">
        <v>23</v>
      </c>
      <c r="K157" s="12" t="s">
        <v>24</v>
      </c>
      <c r="L157" s="12" t="s">
        <v>39</v>
      </c>
      <c r="M157" s="12" t="s">
        <v>40</v>
      </c>
      <c r="N157" s="12" t="s">
        <v>41</v>
      </c>
      <c r="O157" s="12" t="s">
        <v>42</v>
      </c>
      <c r="P157" s="12" t="s">
        <v>25</v>
      </c>
      <c r="Q157" s="12" t="s">
        <v>26</v>
      </c>
      <c r="R157" s="13" t="s">
        <v>27</v>
      </c>
      <c r="S157" s="12" t="s">
        <v>43</v>
      </c>
      <c r="T157" s="12" t="s">
        <v>31</v>
      </c>
      <c r="U157" s="12" t="s">
        <v>28</v>
      </c>
      <c r="V157" s="12" t="s">
        <v>29</v>
      </c>
      <c r="W157" s="13" t="s">
        <v>30</v>
      </c>
      <c r="X157" s="12" t="s">
        <v>28</v>
      </c>
      <c r="Y157" s="12" t="s">
        <v>29</v>
      </c>
      <c r="Z157" s="13" t="s">
        <v>30</v>
      </c>
      <c r="AA157" s="12" t="s">
        <v>50</v>
      </c>
      <c r="AB157" s="12" t="s">
        <v>48</v>
      </c>
      <c r="AC157" s="12" t="s">
        <v>49</v>
      </c>
      <c r="AD157" s="12" t="s">
        <v>46</v>
      </c>
      <c r="AE157" s="12" t="s">
        <v>47</v>
      </c>
      <c r="AF157" s="12" t="s">
        <v>32</v>
      </c>
      <c r="AG157" s="12" t="s">
        <v>33</v>
      </c>
      <c r="AH157" s="12" t="s">
        <v>34</v>
      </c>
      <c r="AI157" s="12"/>
      <c r="AJ157" s="12"/>
      <c r="AK157" s="12" t="s">
        <v>35</v>
      </c>
      <c r="AL157" s="12" t="s">
        <v>36</v>
      </c>
      <c r="AM157" s="13" t="s">
        <v>37</v>
      </c>
      <c r="AN157" s="12" t="s">
        <v>32</v>
      </c>
      <c r="AO157" s="12" t="s">
        <v>33</v>
      </c>
      <c r="AP157" s="12" t="s">
        <v>34</v>
      </c>
      <c r="AQ157" s="12" t="s">
        <v>35</v>
      </c>
      <c r="AR157" s="12" t="s">
        <v>36</v>
      </c>
      <c r="AS157" s="13" t="s">
        <v>37</v>
      </c>
      <c r="AT157" s="1"/>
    </row>
    <row r="158" spans="1:46" ht="15" thickBot="1" x14ac:dyDescent="0.35">
      <c r="A158" s="3" cm="1">
        <f t="array" ref="A158">INDEX(A:A, 14 + INT((ROW()-18)/8)*8)
 - $C$9 *
 INDEX(AN:AN, 18 + INT((ROW()-18)/8)*8)</f>
        <v>-5.816375200936208</v>
      </c>
      <c r="B158" s="3" cm="1">
        <f t="array" ref="B158">INDEX(B:B, 14 + INT((ROW()-18)/8)*8)
 - $C$9 *
 INDEX(AO:AO, 18 + INT((ROW()-18)/8)*8)</f>
        <v>4.2729351101687669</v>
      </c>
      <c r="C158" s="3" cm="1">
        <f t="array" ref="C158">INDEX(C:C, 14 + INT((ROW()-18)/8)*8)
 - $C$9 *
 INDEX(AP:AP, 18 + INT((ROW()-18)/8)*8)</f>
        <v>2.47743621617313</v>
      </c>
      <c r="D158" s="3" cm="1">
        <f t="array" ref="D158">INDEX(D:D, 14 + INT((ROW()-18)/8)*8)
 - $C$9 *
 INDEX(AQ:AQ, 18 + INT((ROW()-18)/8)*8)</f>
        <v>2.472196776808496</v>
      </c>
      <c r="E158" s="3" cm="1">
        <f t="array" ref="E158">INDEX(E:E, 14 + INT((ROW()-18)/8)*8)
 - $C$9 *
 INDEX(AR:AR, 18 + INT((ROW()-18)/8)*8)</f>
        <v>-5.3868458329610833</v>
      </c>
      <c r="F158" s="3" cm="1">
        <f t="array" ref="F158">INDEX(F:F, 14 + INT((ROW()-18)/8)*8)
 - $C$9 *
 INDEX(AS:AS, 18 + INT((ROW()-18)/8)*8)</f>
        <v>-5.2421532943159761</v>
      </c>
      <c r="G158" s="3" cm="1">
        <f t="array" ref="G158">INDEX(G:G, 14 + INT((ROW()-18)/8)*8)
 - $C$9 *
 INDEX(X:X, 18 + INT((ROW()-18)/8)*8)</f>
        <v>1.9329350919560842</v>
      </c>
      <c r="H158" s="3" cm="1">
        <f t="array" ref="H158">INDEX(H:H, 14 + INT((ROW()-18)/8)*8)
 - $C$9 *
 INDEX(Y:Y, 18 + INT((ROW()-18)/8)*8)</f>
        <v>-4.5254753992585641</v>
      </c>
      <c r="I158" s="3" cm="1">
        <f t="array" ref="I158">INDEX(I:I, 14 + INT((ROW()-18)/8)*8)
 - $C$9 *
 INDEX(Z:Z, 18 + INT((ROW()-18)/8)*8)</f>
        <v>-3.5405130390850768</v>
      </c>
      <c r="J158" s="3">
        <v>0</v>
      </c>
      <c r="K158" s="3">
        <v>0</v>
      </c>
      <c r="L158" s="1" cm="1">
        <f t="array" ref="L158">INDEX(B:B, 14 + INT((ROW()-14)/8)*8)*J158
+ INDEX(C:C, 14 + INT((ROW()-14)/8)*8)*K158
+ INDEX(A:A, 14 + INT((ROW()-14)/8)*8)</f>
        <v>-5.816375200936208</v>
      </c>
      <c r="M158" s="1" cm="1">
        <f t="array" ref="M158">INDEX(E:E, 14 + INT((ROW()-14)/8)*8)*J158
+ INDEX(F:F, 14 + INT((ROW()-14)/8)*8)*K158
+ INDEX(D:D, 14 + INT((ROW()-14)/8)*8)</f>
        <v>2.472196776808496</v>
      </c>
      <c r="N158" s="1">
        <f>1/(1+EXP(-L158))</f>
        <v>2.9695372215108756E-3</v>
      </c>
      <c r="O158" s="1">
        <f>1/(1+EXP(-M158))</f>
        <v>0.92216958008974681</v>
      </c>
      <c r="P158" s="1" cm="1">
        <f t="array" ref="P158">INDEX(H:H, 14 + INT((ROW()-14)/8)*8)*N158
+ INDEX(I:I, 14 + INT((ROW()-14)/8)*8)*O158
+ INDEX(G:G, 14 + INT((ROW()-14)/8)*8)</f>
        <v>-1.3454568982424044</v>
      </c>
      <c r="Q158" s="1">
        <f>1/(1+EXP(-P158))</f>
        <v>0.20661410588251022</v>
      </c>
      <c r="R158" s="8">
        <f>($C$4-Q158)^2</f>
        <v>4.2689388749629145E-2</v>
      </c>
      <c r="S158" s="1">
        <f>2*(Q158-$C$4)</f>
        <v>0.41322821176502045</v>
      </c>
      <c r="T158" s="1">
        <f>Q158*(1-Q158)</f>
        <v>0.16392471713288109</v>
      </c>
      <c r="U158" s="1">
        <v>1</v>
      </c>
      <c r="V158" s="1">
        <f>N158</f>
        <v>2.9695372215108756E-3</v>
      </c>
      <c r="W158" s="8">
        <f>O158</f>
        <v>0.92216958008974681</v>
      </c>
      <c r="X158" s="1">
        <f>S158*T158*U158</f>
        <v>6.7738317724907265E-2</v>
      </c>
      <c r="Y158" s="1">
        <f>S158*T158*V158</f>
        <v>2.0115145580664202E-4</v>
      </c>
      <c r="Z158" s="8">
        <f>S158*T158*W158</f>
        <v>6.2466216012363587E-2</v>
      </c>
      <c r="AA158" s="1">
        <f>2*(Q158-$C$4)</f>
        <v>0.41322821176502045</v>
      </c>
      <c r="AB158" s="1" cm="1">
        <f t="array" ref="AB158">INDEX(H:H, 14 + INT((ROW()-14)/8)*8)</f>
        <v>-4.5254753992585641</v>
      </c>
      <c r="AC158" s="1" cm="1">
        <f t="array" ref="AC158">INDEX(I:I, 14 + INT((ROW()-14)/8)*8)</f>
        <v>-3.5405130390850768</v>
      </c>
      <c r="AD158" s="1">
        <f>N158*(1-N158)</f>
        <v>2.9607190702009372E-3</v>
      </c>
      <c r="AE158" s="1">
        <f xml:space="preserve"> O158*(1-O158)</f>
        <v>7.1772845646846856E-2</v>
      </c>
      <c r="AF158" s="1">
        <v>1</v>
      </c>
      <c r="AG158" s="1">
        <f>J158</f>
        <v>0</v>
      </c>
      <c r="AH158" s="1">
        <f>K158</f>
        <v>0</v>
      </c>
      <c r="AI158" s="1"/>
      <c r="AJ158" s="1"/>
      <c r="AK158" s="1">
        <v>1</v>
      </c>
      <c r="AL158" s="1">
        <f>J158</f>
        <v>0</v>
      </c>
      <c r="AM158" s="8">
        <f>K158</f>
        <v>0</v>
      </c>
      <c r="AN158" s="1">
        <f>S158*T158*AB158*AD158*AF158</f>
        <v>-9.0760277733263302E-4</v>
      </c>
      <c r="AO158" s="1">
        <f>S158*T158*AB158*AD158*AG158</f>
        <v>0</v>
      </c>
      <c r="AP158" s="1">
        <f>S158*T158*AB158*AD158*AH158</f>
        <v>0</v>
      </c>
      <c r="AQ158" s="1">
        <f>S158*T158*AC158*AE158*AK158</f>
        <v>-1.7213166530429452E-2</v>
      </c>
      <c r="AR158" s="1">
        <f>S158*T158*AC158*AE158*AL158</f>
        <v>0</v>
      </c>
      <c r="AS158" s="8">
        <f>S158*T158*AC158*AE158*AM158</f>
        <v>0</v>
      </c>
      <c r="AT158" s="1"/>
    </row>
    <row r="159" spans="1:4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3">
        <v>0</v>
      </c>
      <c r="K159" s="3">
        <v>1</v>
      </c>
      <c r="L159" s="1" cm="1">
        <f t="array" ref="L159">INDEX(B:B, 14 + INT((ROW()-14)/8)*8)*J159
+ INDEX(C:C, 14 + INT((ROW()-14)/8)*8)*K159
+ INDEX(A:A, 14 + INT((ROW()-14)/8)*8)</f>
        <v>-3.3389389847630779</v>
      </c>
      <c r="M159" s="1" cm="1">
        <f t="array" ref="M159">INDEX(E:E, 14 + INT((ROW()-14)/8)*8)*J159
+ INDEX(F:F, 14 + INT((ROW()-14)/8)*8)*K159
+ INDEX(D:D, 14 + INT((ROW()-14)/8)*8)</f>
        <v>-2.7699565175074801</v>
      </c>
      <c r="N159" s="1">
        <f t="shared" ref="N159:N161" si="378">1/(1+EXP(-L159))</f>
        <v>3.4259244621993416E-2</v>
      </c>
      <c r="O159" s="1">
        <f t="shared" ref="O159:O161" si="379">1/(1+EXP(-M159))</f>
        <v>5.8969426350433674E-2</v>
      </c>
      <c r="P159" s="1" cm="1">
        <f t="array" ref="P159">INDEX(H:H, 14 + INT((ROW()-14)/8)*8)*N159
+ INDEX(I:I, 14 + INT((ROW()-14)/8)*8)*O159
+ INDEX(G:G, 14 + INT((ROW()-14)/8)*8)</f>
        <v>1.5691137003209943</v>
      </c>
      <c r="Q159" s="1">
        <f t="shared" ref="Q159:Q161" si="380">1/(1+EXP(-P159))</f>
        <v>0.82765722253104368</v>
      </c>
      <c r="R159" s="8">
        <f>($C$5-Q159)^2</f>
        <v>2.9702032945714198E-2</v>
      </c>
      <c r="S159" s="1">
        <f>2*(Q159-$C$5)</f>
        <v>-0.34468555493791264</v>
      </c>
      <c r="T159" s="1">
        <f t="shared" ref="T159:T161" si="381">Q159*(1-Q159)</f>
        <v>0.14264074452324213</v>
      </c>
      <c r="U159" s="1">
        <v>1</v>
      </c>
      <c r="V159" s="1">
        <f t="shared" ref="V159:V161" si="382">N159</f>
        <v>3.4259244621993416E-2</v>
      </c>
      <c r="W159" s="8">
        <f t="shared" ref="W159:W161" si="383">O159</f>
        <v>5.8969426350433674E-2</v>
      </c>
      <c r="X159" s="1">
        <f t="shared" ref="X159:X161" si="384">S159*T159*U159</f>
        <v>-4.9166204182750736E-2</v>
      </c>
      <c r="Y159" s="1">
        <f t="shared" ref="Y159:Y161" si="385">S159*T159*V159</f>
        <v>-1.6843970162317334E-3</v>
      </c>
      <c r="Z159" s="8">
        <f t="shared" ref="Z159:Z161" si="386">S159*T159*W159</f>
        <v>-2.8993028564851036E-3</v>
      </c>
      <c r="AA159" s="1">
        <f>2*(Q159-$C$5)</f>
        <v>-0.34468555493791264</v>
      </c>
      <c r="AB159" s="1" cm="1">
        <f t="array" ref="AB159">INDEX(H:H, 14 + INT((ROW()-14)/8)*8)</f>
        <v>-4.5254753992585641</v>
      </c>
      <c r="AC159" s="1" cm="1">
        <f t="array" ref="AC159">INDEX(I:I, 14 + INT((ROW()-14)/8)*8)</f>
        <v>-3.5405130390850768</v>
      </c>
      <c r="AD159" s="1">
        <f t="shared" ref="AD159:AD161" si="387">N159*(1-N159)</f>
        <v>3.3085548779923833E-2</v>
      </c>
      <c r="AE159" s="1">
        <f t="shared" ref="AE159:AE161" si="388" xml:space="preserve"> O159*(1-O159)</f>
        <v>5.5492033106334451E-2</v>
      </c>
      <c r="AF159" s="1">
        <v>1</v>
      </c>
      <c r="AG159" s="1">
        <f t="shared" ref="AG159:AG161" si="389">J159</f>
        <v>0</v>
      </c>
      <c r="AH159" s="1">
        <f t="shared" ref="AH159:AH161" si="390">K159</f>
        <v>1</v>
      </c>
      <c r="AI159" s="1"/>
      <c r="AJ159" s="1"/>
      <c r="AK159" s="1">
        <v>1</v>
      </c>
      <c r="AL159" s="1">
        <f t="shared" ref="AL159:AL161" si="391">J159</f>
        <v>0</v>
      </c>
      <c r="AM159" s="8">
        <f t="shared" ref="AM159:AM161" si="392">K159</f>
        <v>1</v>
      </c>
      <c r="AN159" s="1">
        <f t="shared" ref="AN159:AN161" si="393">S159*T159*AB159*AD159*AF159</f>
        <v>7.3615494094472159E-3</v>
      </c>
      <c r="AO159" s="1">
        <f t="shared" ref="AO159:AO161" si="394">S159*T159*AB159*AD159*AG159</f>
        <v>0</v>
      </c>
      <c r="AP159" s="1">
        <f t="shared" ref="AP159:AP161" si="395">S159*T159*AB159*AD159*AH159</f>
        <v>7.3615494094472159E-3</v>
      </c>
      <c r="AQ159" s="1">
        <f t="shared" ref="AQ159:AQ161" si="396">S159*T159*AC159*AE159*AK159</f>
        <v>9.6596972522622858E-3</v>
      </c>
      <c r="AR159" s="1">
        <f t="shared" ref="AR159:AR161" si="397">S159*T159*AC159*AE159*AL159</f>
        <v>0</v>
      </c>
      <c r="AS159" s="8">
        <f t="shared" ref="AS159:AS161" si="398">S159*T159*AC159*AE159*AM159</f>
        <v>9.6596972522622858E-3</v>
      </c>
      <c r="AT159" s="1"/>
    </row>
    <row r="160" spans="1:4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3">
        <v>1</v>
      </c>
      <c r="K160" s="3">
        <v>0</v>
      </c>
      <c r="L160" s="1" cm="1">
        <f t="array" ref="L160">INDEX(B:B, 14 + INT((ROW()-14)/8)*8)*J160
+ INDEX(C:C, 14 + INT((ROW()-14)/8)*8)*K160
+ INDEX(A:A, 14 + INT((ROW()-14)/8)*8)</f>
        <v>-1.543440090767441</v>
      </c>
      <c r="M160" s="1" cm="1">
        <f t="array" ref="M160">INDEX(E:E, 14 + INT((ROW()-14)/8)*8)*J160
+ INDEX(F:F, 14 + INT((ROW()-14)/8)*8)*K160
+ INDEX(D:D, 14 + INT((ROW()-14)/8)*8)</f>
        <v>-2.9146490561525873</v>
      </c>
      <c r="N160" s="1">
        <f t="shared" si="378"/>
        <v>0.17603574316355622</v>
      </c>
      <c r="O160" s="1">
        <f t="shared" si="379"/>
        <v>5.1434140607536774E-2</v>
      </c>
      <c r="P160" s="1" cm="1">
        <f t="array" ref="P160">INDEX(H:H, 14 + INT((ROW()-14)/8)*8)*N160
+ INDEX(I:I, 14 + INT((ROW()-14)/8)*8)*O160
+ INDEX(G:G, 14 + INT((ROW()-14)/8)*8)</f>
        <v>0.95418642140409227</v>
      </c>
      <c r="Q160" s="1">
        <f t="shared" si="380"/>
        <v>0.72195632132620235</v>
      </c>
      <c r="R160" s="8">
        <f>($C$6-Q160)^2</f>
        <v>7.7308287250458033E-2</v>
      </c>
      <c r="S160" s="1">
        <f>2*(Q160-$C$6)</f>
        <v>-0.55608735734759529</v>
      </c>
      <c r="T160" s="1">
        <f t="shared" si="381"/>
        <v>0.2007353914233396</v>
      </c>
      <c r="U160" s="1">
        <v>1</v>
      </c>
      <c r="V160" s="1">
        <f t="shared" si="382"/>
        <v>0.17603574316355622</v>
      </c>
      <c r="W160" s="8">
        <f t="shared" si="383"/>
        <v>5.1434140607536774E-2</v>
      </c>
      <c r="X160" s="1">
        <f t="shared" si="384"/>
        <v>-0.11162641334274007</v>
      </c>
      <c r="Y160" s="1">
        <f t="shared" si="385"/>
        <v>-1.9650238629471555E-2</v>
      </c>
      <c r="Z160" s="8">
        <f t="shared" si="386"/>
        <v>-5.7414086393855115E-3</v>
      </c>
      <c r="AA160" s="1">
        <f>2*(Q160-$C$6)</f>
        <v>-0.55608735734759529</v>
      </c>
      <c r="AB160" s="1" cm="1">
        <f t="array" ref="AB160">INDEX(H:H, 14 + INT((ROW()-14)/8)*8)</f>
        <v>-4.5254753992585641</v>
      </c>
      <c r="AC160" s="1" cm="1">
        <f t="array" ref="AC160">INDEX(I:I, 14 + INT((ROW()-14)/8)*8)</f>
        <v>-3.5405130390850768</v>
      </c>
      <c r="AD160" s="1">
        <f t="shared" si="387"/>
        <v>0.14504716029241069</v>
      </c>
      <c r="AE160" s="1">
        <f t="shared" si="388"/>
        <v>4.8788669787500911E-2</v>
      </c>
      <c r="AF160" s="1">
        <v>1</v>
      </c>
      <c r="AG160" s="1">
        <f t="shared" si="389"/>
        <v>1</v>
      </c>
      <c r="AH160" s="1">
        <f t="shared" si="390"/>
        <v>0</v>
      </c>
      <c r="AI160" s="1"/>
      <c r="AJ160" s="1"/>
      <c r="AK160" s="1">
        <v>1</v>
      </c>
      <c r="AL160" s="1">
        <f t="shared" si="391"/>
        <v>1</v>
      </c>
      <c r="AM160" s="8">
        <f t="shared" si="392"/>
        <v>0</v>
      </c>
      <c r="AN160" s="1">
        <f t="shared" si="393"/>
        <v>7.3272398801396493E-2</v>
      </c>
      <c r="AO160" s="1">
        <f t="shared" si="394"/>
        <v>7.3272398801396493E-2</v>
      </c>
      <c r="AP160" s="1">
        <f t="shared" si="395"/>
        <v>0</v>
      </c>
      <c r="AQ160" s="1">
        <f t="shared" si="396"/>
        <v>1.9282003003629124E-2</v>
      </c>
      <c r="AR160" s="1">
        <f t="shared" si="397"/>
        <v>1.9282003003629124E-2</v>
      </c>
      <c r="AS160" s="8">
        <f t="shared" si="398"/>
        <v>0</v>
      </c>
      <c r="AT160" s="1"/>
    </row>
    <row r="161" spans="1:4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3">
        <v>1</v>
      </c>
      <c r="K161" s="3">
        <v>1</v>
      </c>
      <c r="L161" s="1" cm="1">
        <f t="array" ref="L161">INDEX(B:B, 14 + INT((ROW()-14)/8)*8)*J161
+ INDEX(C:C, 14 + INT((ROW()-14)/8)*8)*K161
+ INDEX(A:A, 14 + INT((ROW()-14)/8)*8)</f>
        <v>0.93399612540568899</v>
      </c>
      <c r="M161" s="1" cm="1">
        <f t="array" ref="M161">INDEX(E:E, 14 + INT((ROW()-14)/8)*8)*J161
+ INDEX(F:F, 14 + INT((ROW()-14)/8)*8)*K161
+ INDEX(D:D, 14 + INT((ROW()-14)/8)*8)</f>
        <v>-8.1568023504685634</v>
      </c>
      <c r="N161" s="1">
        <f t="shared" si="378"/>
        <v>0.71788530896254898</v>
      </c>
      <c r="O161" s="1">
        <f t="shared" si="379"/>
        <v>2.8669572756356756E-4</v>
      </c>
      <c r="P161" s="1" cm="1">
        <f t="array" ref="P161">INDEX(H:H, 14 + INT((ROW()-14)/8)*8)*N161
+ INDEX(I:I, 14 + INT((ROW()-14)/8)*8)*O161
+ INDEX(G:G, 14 + INT((ROW()-14)/8)*8)</f>
        <v>-1.3168522632047535</v>
      </c>
      <c r="Q161" s="1">
        <f t="shared" si="380"/>
        <v>0.21134247156206043</v>
      </c>
      <c r="R161" s="8">
        <f>($C$7-Q161)^2</f>
        <v>4.4665640285960324E-2</v>
      </c>
      <c r="S161" s="1">
        <f>2*(Q161-$C$7)</f>
        <v>0.42268494312412086</v>
      </c>
      <c r="T161" s="1">
        <f t="shared" si="381"/>
        <v>0.16667683127610011</v>
      </c>
      <c r="U161" s="1">
        <v>1</v>
      </c>
      <c r="V161" s="1">
        <f t="shared" si="382"/>
        <v>0.71788530896254898</v>
      </c>
      <c r="W161" s="8">
        <f t="shared" si="383"/>
        <v>2.8669572756356756E-4</v>
      </c>
      <c r="X161" s="1">
        <f t="shared" si="384"/>
        <v>7.045178694804706E-2</v>
      </c>
      <c r="Y161" s="1">
        <f t="shared" si="385"/>
        <v>5.0576302840162436E-2</v>
      </c>
      <c r="Z161" s="8">
        <f t="shared" si="386"/>
        <v>2.0198226317223804E-5</v>
      </c>
      <c r="AA161" s="1">
        <f>2*(Q161-$C$7)</f>
        <v>0.42268494312412086</v>
      </c>
      <c r="AB161" s="1" cm="1">
        <f t="array" ref="AB161">INDEX(H:H, 14 + INT((ROW()-14)/8)*8)</f>
        <v>-4.5254753992585641</v>
      </c>
      <c r="AC161" s="1" cm="1">
        <f t="array" ref="AC161">INDEX(I:I, 14 + INT((ROW()-14)/8)*8)</f>
        <v>-3.5405130390850768</v>
      </c>
      <c r="AD161" s="1">
        <f t="shared" si="387"/>
        <v>0.20252599213829456</v>
      </c>
      <c r="AE161" s="1">
        <f t="shared" si="388"/>
        <v>2.8661353312336437E-4</v>
      </c>
      <c r="AF161" s="1">
        <v>1</v>
      </c>
      <c r="AG161" s="1">
        <f t="shared" si="389"/>
        <v>1</v>
      </c>
      <c r="AH161" s="1">
        <f t="shared" si="390"/>
        <v>1</v>
      </c>
      <c r="AI161" s="1"/>
      <c r="AJ161" s="1"/>
      <c r="AK161" s="1">
        <v>1</v>
      </c>
      <c r="AL161" s="1">
        <f t="shared" si="391"/>
        <v>1</v>
      </c>
      <c r="AM161" s="8">
        <f t="shared" si="392"/>
        <v>1</v>
      </c>
      <c r="AN161" s="1">
        <f t="shared" si="393"/>
        <v>-6.457092232212136E-2</v>
      </c>
      <c r="AO161" s="1">
        <f t="shared" si="394"/>
        <v>-6.457092232212136E-2</v>
      </c>
      <c r="AP161" s="1">
        <f t="shared" si="395"/>
        <v>-6.457092232212136E-2</v>
      </c>
      <c r="AQ161" s="1">
        <f t="shared" si="396"/>
        <v>-7.1491581433672758E-5</v>
      </c>
      <c r="AR161" s="1">
        <f t="shared" si="397"/>
        <v>-7.1491581433672758E-5</v>
      </c>
      <c r="AS161" s="8">
        <f t="shared" si="398"/>
        <v>-7.1491581433672758E-5</v>
      </c>
      <c r="AT161" s="1"/>
    </row>
    <row r="162" spans="1:4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6">
        <f>SUM(R158:R161)</f>
        <v>0.19436534923176169</v>
      </c>
      <c r="S162" s="1"/>
      <c r="T162" s="1"/>
      <c r="U162" s="1"/>
      <c r="V162" s="1"/>
      <c r="W162" s="1"/>
      <c r="X162" s="1">
        <f>AVERAGE(X158:X161)</f>
        <v>-5.6506282131341193E-3</v>
      </c>
      <c r="Y162" s="1">
        <f>AVERAGE(Y158:Y161)</f>
        <v>7.3607046625664471E-3</v>
      </c>
      <c r="Z162" s="1">
        <f>AVERAGE(Z158:Z161)</f>
        <v>1.3461425685702548E-2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>
        <f>AVERAGE(AN158:AN161)</f>
        <v>3.7888557778474295E-3</v>
      </c>
      <c r="AO162" s="1">
        <f>AVERAGE(AO158:AO161)</f>
        <v>2.1753691198187833E-3</v>
      </c>
      <c r="AP162" s="1">
        <f xml:space="preserve"> AVERAGE(AP158:AP161)</f>
        <v>-1.4302343228168536E-2</v>
      </c>
      <c r="AQ162" s="1">
        <f>AVERAGE(AQ158:AQ161)</f>
        <v>2.9142605360070713E-3</v>
      </c>
      <c r="AR162" s="1">
        <f>AVERAGE(AR158:AR161)</f>
        <v>4.8026278555488629E-3</v>
      </c>
      <c r="AS162" s="1">
        <f>AVERAGE(AS158:AS161)</f>
        <v>2.3970514177071535E-3</v>
      </c>
      <c r="AT162" s="1"/>
    </row>
    <row r="163" spans="1:46" ht="15" thickBot="1" x14ac:dyDescent="0.35">
      <c r="A163" s="1"/>
      <c r="B163" s="3"/>
      <c r="C163" s="1"/>
      <c r="D163" s="1"/>
      <c r="E163" s="1"/>
      <c r="F163" s="1"/>
      <c r="G163" s="1"/>
      <c r="H163" s="1"/>
      <c r="I163" s="1"/>
      <c r="J163" s="30"/>
      <c r="K163" s="31"/>
      <c r="L163" s="30"/>
      <c r="M163" s="31"/>
      <c r="N163" s="30"/>
      <c r="O163" s="31"/>
      <c r="P163" s="1"/>
      <c r="Q163" s="9"/>
      <c r="R163" s="10"/>
      <c r="S163" s="1"/>
      <c r="T163" s="11"/>
      <c r="U163" s="23"/>
      <c r="V163" s="24"/>
      <c r="W163" s="26"/>
      <c r="X163" s="32"/>
      <c r="Y163" s="33"/>
      <c r="Z163" s="34"/>
      <c r="AA163" s="35"/>
      <c r="AB163" s="25"/>
      <c r="AC163" s="21"/>
      <c r="AD163" s="22"/>
      <c r="AE163" s="11"/>
      <c r="AF163" s="11"/>
      <c r="AG163" s="23"/>
      <c r="AH163" s="24"/>
      <c r="AI163" s="25"/>
      <c r="AJ163" s="23"/>
      <c r="AK163" s="24"/>
      <c r="AL163" s="26"/>
      <c r="AM163" s="27"/>
      <c r="AN163" s="28"/>
      <c r="AO163" s="28"/>
      <c r="AP163" s="28"/>
      <c r="AQ163" s="28"/>
      <c r="AR163" s="29"/>
      <c r="AS163" s="1"/>
    </row>
    <row r="164" spans="1:46" ht="15" thickBot="1" x14ac:dyDescent="0.35">
      <c r="A164" s="1" t="s">
        <v>38</v>
      </c>
      <c r="B164" s="1">
        <v>19</v>
      </c>
      <c r="C164" s="1"/>
      <c r="D164" s="1"/>
      <c r="E164" s="1"/>
      <c r="F164" s="1"/>
      <c r="G164" s="1"/>
      <c r="H164" s="1"/>
      <c r="I164" s="1"/>
      <c r="J164" s="30" t="s">
        <v>7</v>
      </c>
      <c r="K164" s="31"/>
      <c r="L164" s="30" t="s">
        <v>8</v>
      </c>
      <c r="M164" s="31"/>
      <c r="N164" s="30" t="s">
        <v>9</v>
      </c>
      <c r="O164" s="31"/>
      <c r="P164" s="1"/>
      <c r="Q164" s="9" t="s">
        <v>10</v>
      </c>
      <c r="R164" s="10" t="s">
        <v>11</v>
      </c>
      <c r="S164" s="1"/>
      <c r="T164" s="11"/>
      <c r="U164" s="23" t="s">
        <v>13</v>
      </c>
      <c r="V164" s="24"/>
      <c r="W164" s="26"/>
      <c r="X164" s="32" t="s">
        <v>12</v>
      </c>
      <c r="Y164" s="33"/>
      <c r="Z164" s="34"/>
      <c r="AA164" s="35"/>
      <c r="AB164" s="25"/>
      <c r="AC164" s="21"/>
      <c r="AD164" s="22"/>
      <c r="AE164" s="11"/>
      <c r="AF164" s="11"/>
      <c r="AG164" s="23" t="s">
        <v>44</v>
      </c>
      <c r="AH164" s="24"/>
      <c r="AI164" s="25"/>
      <c r="AJ164" s="17"/>
      <c r="AK164" s="17"/>
      <c r="AL164" s="23" t="s">
        <v>45</v>
      </c>
      <c r="AM164" s="24"/>
      <c r="AN164" s="26"/>
      <c r="AO164" s="27" t="s">
        <v>12</v>
      </c>
      <c r="AP164" s="28"/>
      <c r="AQ164" s="28"/>
      <c r="AR164" s="28"/>
      <c r="AS164" s="28"/>
      <c r="AT164" s="29"/>
    </row>
    <row r="165" spans="1:46" ht="15" thickBot="1" x14ac:dyDescent="0.35">
      <c r="A165" s="12" t="s">
        <v>14</v>
      </c>
      <c r="B165" s="12" t="s">
        <v>15</v>
      </c>
      <c r="C165" s="12" t="s">
        <v>16</v>
      </c>
      <c r="D165" s="12" t="s">
        <v>17</v>
      </c>
      <c r="E165" s="12" t="s">
        <v>18</v>
      </c>
      <c r="F165" s="12" t="s">
        <v>19</v>
      </c>
      <c r="G165" s="12" t="s">
        <v>20</v>
      </c>
      <c r="H165" s="12" t="s">
        <v>21</v>
      </c>
      <c r="I165" s="12" t="s">
        <v>22</v>
      </c>
      <c r="J165" s="12" t="s">
        <v>23</v>
      </c>
      <c r="K165" s="12" t="s">
        <v>24</v>
      </c>
      <c r="L165" s="12" t="s">
        <v>39</v>
      </c>
      <c r="M165" s="12" t="s">
        <v>40</v>
      </c>
      <c r="N165" s="12" t="s">
        <v>41</v>
      </c>
      <c r="O165" s="12" t="s">
        <v>42</v>
      </c>
      <c r="P165" s="12" t="s">
        <v>25</v>
      </c>
      <c r="Q165" s="12" t="s">
        <v>26</v>
      </c>
      <c r="R165" s="13" t="s">
        <v>27</v>
      </c>
      <c r="S165" s="12" t="s">
        <v>43</v>
      </c>
      <c r="T165" s="12" t="s">
        <v>31</v>
      </c>
      <c r="U165" s="12" t="s">
        <v>28</v>
      </c>
      <c r="V165" s="12" t="s">
        <v>29</v>
      </c>
      <c r="W165" s="13" t="s">
        <v>30</v>
      </c>
      <c r="X165" s="12" t="s">
        <v>28</v>
      </c>
      <c r="Y165" s="12" t="s">
        <v>29</v>
      </c>
      <c r="Z165" s="13" t="s">
        <v>30</v>
      </c>
      <c r="AA165" s="12" t="s">
        <v>50</v>
      </c>
      <c r="AB165" s="12" t="s">
        <v>48</v>
      </c>
      <c r="AC165" s="12" t="s">
        <v>49</v>
      </c>
      <c r="AD165" s="12" t="s">
        <v>46</v>
      </c>
      <c r="AE165" s="12" t="s">
        <v>47</v>
      </c>
      <c r="AF165" s="12" t="s">
        <v>32</v>
      </c>
      <c r="AG165" s="12" t="s">
        <v>33</v>
      </c>
      <c r="AH165" s="12" t="s">
        <v>34</v>
      </c>
      <c r="AI165" s="12"/>
      <c r="AJ165" s="12"/>
      <c r="AK165" s="12" t="s">
        <v>35</v>
      </c>
      <c r="AL165" s="12" t="s">
        <v>36</v>
      </c>
      <c r="AM165" s="13" t="s">
        <v>37</v>
      </c>
      <c r="AN165" s="12" t="s">
        <v>32</v>
      </c>
      <c r="AO165" s="12" t="s">
        <v>33</v>
      </c>
      <c r="AP165" s="12" t="s">
        <v>34</v>
      </c>
      <c r="AQ165" s="12" t="s">
        <v>35</v>
      </c>
      <c r="AR165" s="12" t="s">
        <v>36</v>
      </c>
      <c r="AS165" s="13" t="s">
        <v>37</v>
      </c>
      <c r="AT165" s="1"/>
    </row>
    <row r="166" spans="1:46" ht="15" thickBot="1" x14ac:dyDescent="0.35">
      <c r="A166" s="3" cm="1">
        <f t="array" ref="A166">INDEX(A:A, 14 + INT((ROW()-18)/8)*8)
 - $C$9 *
 INDEX(AN:AN, 18 + INT((ROW()-18)/8)*8)</f>
        <v>-5.8353194798254453</v>
      </c>
      <c r="B166" s="3" cm="1">
        <f t="array" ref="B166">INDEX(B:B, 14 + INT((ROW()-18)/8)*8)
 - $C$9 *
 INDEX(AO:AO, 18 + INT((ROW()-18)/8)*8)</f>
        <v>4.2620582645696734</v>
      </c>
      <c r="C166" s="3" cm="1">
        <f t="array" ref="C166">INDEX(C:C, 14 + INT((ROW()-18)/8)*8)
 - $C$9 *
 INDEX(AP:AP, 18 + INT((ROW()-18)/8)*8)</f>
        <v>2.5489479323139728</v>
      </c>
      <c r="D166" s="3" cm="1">
        <f t="array" ref="D166">INDEX(D:D, 14 + INT((ROW()-18)/8)*8)
 - $C$9 *
 INDEX(AQ:AQ, 18 + INT((ROW()-18)/8)*8)</f>
        <v>2.4576254741284607</v>
      </c>
      <c r="E166" s="3" cm="1">
        <f t="array" ref="E166">INDEX(E:E, 14 + INT((ROW()-18)/8)*8)
 - $C$9 *
 INDEX(AR:AR, 18 + INT((ROW()-18)/8)*8)</f>
        <v>-5.4108589722388274</v>
      </c>
      <c r="F166" s="3" cm="1">
        <f t="array" ref="F166">INDEX(F:F, 14 + INT((ROW()-18)/8)*8)
 - $C$9 *
 INDEX(AS:AS, 18 + INT((ROW()-18)/8)*8)</f>
        <v>-5.2541385514045116</v>
      </c>
      <c r="G166" s="3" cm="1">
        <f t="array" ref="G166">INDEX(G:G, 14 + INT((ROW()-18)/8)*8)
 - $C$9 *
 INDEX(X:X, 18 + INT((ROW()-18)/8)*8)</f>
        <v>1.9611882330217547</v>
      </c>
      <c r="H166" s="3" cm="1">
        <f t="array" ref="H166">INDEX(H:H, 14 + INT((ROW()-18)/8)*8)
 - $C$9 *
 INDEX(Y:Y, 18 + INT((ROW()-18)/8)*8)</f>
        <v>-4.5622789225713962</v>
      </c>
      <c r="I166" s="3" cm="1">
        <f t="array" ref="I166">INDEX(I:I, 14 + INT((ROW()-18)/8)*8)
 - $C$9 *
 INDEX(Z:Z, 18 + INT((ROW()-18)/8)*8)</f>
        <v>-3.6078201675135895</v>
      </c>
      <c r="J166" s="3">
        <v>0</v>
      </c>
      <c r="K166" s="3">
        <v>0</v>
      </c>
      <c r="L166" s="1" cm="1">
        <f t="array" ref="L166">INDEX(B:B, 14 + INT((ROW()-14)/8)*8)*J166
+ INDEX(C:C, 14 + INT((ROW()-14)/8)*8)*K166
+ INDEX(A:A, 14 + INT((ROW()-14)/8)*8)</f>
        <v>-5.8353194798254453</v>
      </c>
      <c r="M166" s="1" cm="1">
        <f t="array" ref="M166">INDEX(E:E, 14 + INT((ROW()-14)/8)*8)*J166
+ INDEX(F:F, 14 + INT((ROW()-14)/8)*8)*K166
+ INDEX(D:D, 14 + INT((ROW()-14)/8)*8)</f>
        <v>2.4576254741284607</v>
      </c>
      <c r="N166" s="1">
        <f>1/(1+EXP(-L166))</f>
        <v>2.9139733781651652E-3</v>
      </c>
      <c r="O166" s="1">
        <f>1/(1+EXP(-M166))</f>
        <v>0.92111730169566641</v>
      </c>
      <c r="P166" s="1" cm="1">
        <f t="array" ref="P166">INDEX(H:H, 14 + INT((ROW()-14)/8)*8)*N166
+ INDEX(I:I, 14 + INT((ROW()-14)/8)*8)*O166
+ INDEX(G:G, 14 + INT((ROW()-14)/8)*8)</f>
        <v>-1.3753317040057071</v>
      </c>
      <c r="Q166" s="1">
        <f>1/(1+EXP(-P166))</f>
        <v>0.20175979512313619</v>
      </c>
      <c r="R166" s="8">
        <f>($C$4-Q166)^2</f>
        <v>4.0707014928129892E-2</v>
      </c>
      <c r="S166" s="1">
        <f>2*(Q166-$C$4)</f>
        <v>0.40351959024627237</v>
      </c>
      <c r="T166" s="1">
        <f>Q166*(1-Q166)</f>
        <v>0.1610527801950063</v>
      </c>
      <c r="U166" s="1">
        <v>1</v>
      </c>
      <c r="V166" s="1">
        <f>N166</f>
        <v>2.9139733781651652E-3</v>
      </c>
      <c r="W166" s="8">
        <f>O166</f>
        <v>0.92111730169566641</v>
      </c>
      <c r="X166" s="1">
        <f>S166*T166*U166</f>
        <v>6.4987951872311905E-2</v>
      </c>
      <c r="Y166" s="1">
        <f>S166*T166*V166</f>
        <v>1.8937316165739589E-4</v>
      </c>
      <c r="Z166" s="8">
        <f>S166*T166*W166</f>
        <v>5.9861526871351774E-2</v>
      </c>
      <c r="AA166" s="1">
        <f>2*(Q166-$C$4)</f>
        <v>0.40351959024627237</v>
      </c>
      <c r="AB166" s="1" cm="1">
        <f t="array" ref="AB166">INDEX(H:H, 14 + INT((ROW()-14)/8)*8)</f>
        <v>-4.5622789225713962</v>
      </c>
      <c r="AC166" s="1" cm="1">
        <f t="array" ref="AC166">INDEX(I:I, 14 + INT((ROW()-14)/8)*8)</f>
        <v>-3.6078201675135895</v>
      </c>
      <c r="AD166" s="1">
        <f>N166*(1-N166)</f>
        <v>2.9054821373165102E-3</v>
      </c>
      <c r="AE166" s="1">
        <f xml:space="preserve"> O166*(1-O166)</f>
        <v>7.2660218212561078E-2</v>
      </c>
      <c r="AF166" s="1">
        <v>1</v>
      </c>
      <c r="AG166" s="1">
        <f>J166</f>
        <v>0</v>
      </c>
      <c r="AH166" s="1">
        <f>K166</f>
        <v>0</v>
      </c>
      <c r="AI166" s="1"/>
      <c r="AJ166" s="1"/>
      <c r="AK166" s="1">
        <v>1</v>
      </c>
      <c r="AL166" s="1">
        <f>J166</f>
        <v>0</v>
      </c>
      <c r="AM166" s="8">
        <f>K166</f>
        <v>0</v>
      </c>
      <c r="AN166" s="1">
        <f>S166*T166*AB166*AD166*AF166</f>
        <v>-8.6145558907282167E-4</v>
      </c>
      <c r="AO166" s="1">
        <f>S166*T166*AB166*AD166*AG166</f>
        <v>0</v>
      </c>
      <c r="AP166" s="1">
        <f>S166*T166*AB166*AD166*AH166</f>
        <v>0</v>
      </c>
      <c r="AQ166" s="1">
        <f>S166*T166*AC166*AE166*AK166</f>
        <v>-1.7036266685368499E-2</v>
      </c>
      <c r="AR166" s="1">
        <f>S166*T166*AC166*AE166*AL166</f>
        <v>0</v>
      </c>
      <c r="AS166" s="8">
        <f>S166*T166*AC166*AE166*AM166</f>
        <v>0</v>
      </c>
      <c r="AT166" s="1"/>
    </row>
    <row r="167" spans="1:4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3">
        <v>0</v>
      </c>
      <c r="K167" s="3">
        <v>1</v>
      </c>
      <c r="L167" s="1" cm="1">
        <f t="array" ref="L167">INDEX(B:B, 14 + INT((ROW()-14)/8)*8)*J167
+ INDEX(C:C, 14 + INT((ROW()-14)/8)*8)*K167
+ INDEX(A:A, 14 + INT((ROW()-14)/8)*8)</f>
        <v>-3.2863715475114725</v>
      </c>
      <c r="M167" s="1" cm="1">
        <f t="array" ref="M167">INDEX(E:E, 14 + INT((ROW()-14)/8)*8)*J167
+ INDEX(F:F, 14 + INT((ROW()-14)/8)*8)*K167
+ INDEX(D:D, 14 + INT((ROW()-14)/8)*8)</f>
        <v>-2.7965130772760509</v>
      </c>
      <c r="N167" s="1">
        <f t="shared" ref="N167:N169" si="399">1/(1+EXP(-L167))</f>
        <v>3.6041696090162924E-2</v>
      </c>
      <c r="O167" s="1">
        <f t="shared" ref="O167:O169" si="400">1/(1+EXP(-M167))</f>
        <v>5.7512893738361145E-2</v>
      </c>
      <c r="P167" s="1" cm="1">
        <f t="array" ref="P167">INDEX(H:H, 14 + INT((ROW()-14)/8)*8)*N167
+ INDEX(I:I, 14 + INT((ROW()-14)/8)*8)*O167
+ INDEX(G:G, 14 + INT((ROW()-14)/8)*8)</f>
        <v>1.5892597846945551</v>
      </c>
      <c r="Q167" s="1">
        <f t="shared" ref="Q167:Q169" si="401">1/(1+EXP(-P167))</f>
        <v>0.83051193447152105</v>
      </c>
      <c r="R167" s="8">
        <f>($C$5-Q167)^2</f>
        <v>2.8726204356585974E-2</v>
      </c>
      <c r="S167" s="1">
        <f>2*(Q167-$C$5)</f>
        <v>-0.3389761310569579</v>
      </c>
      <c r="T167" s="1">
        <f t="shared" ref="T167:T169" si="402">Q167*(1-Q167)</f>
        <v>0.14076186117189299</v>
      </c>
      <c r="U167" s="1">
        <v>1</v>
      </c>
      <c r="V167" s="1">
        <f t="shared" ref="V167:V169" si="403">N167</f>
        <v>3.6041696090162924E-2</v>
      </c>
      <c r="W167" s="8">
        <f t="shared" ref="W167:W169" si="404">O167</f>
        <v>5.7512893738361145E-2</v>
      </c>
      <c r="X167" s="1">
        <f t="shared" ref="X167:X169" si="405">S167*T167*U167</f>
        <v>-4.771491110042491E-2</v>
      </c>
      <c r="Y167" s="1">
        <f t="shared" ref="Y167:Y169" si="406">S167*T167*V167</f>
        <v>-1.7197263248506559E-3</v>
      </c>
      <c r="Z167" s="8">
        <f t="shared" ref="Z167:Z169" si="407">S167*T167*W167</f>
        <v>-2.7442226118540866E-3</v>
      </c>
      <c r="AA167" s="1">
        <f>2*(Q167-$C$5)</f>
        <v>-0.3389761310569579</v>
      </c>
      <c r="AB167" s="1" cm="1">
        <f t="array" ref="AB167">INDEX(H:H, 14 + INT((ROW()-14)/8)*8)</f>
        <v>-4.5622789225713962</v>
      </c>
      <c r="AC167" s="1" cm="1">
        <f t="array" ref="AC167">INDEX(I:I, 14 + INT((ROW()-14)/8)*8)</f>
        <v>-3.6078201675135895</v>
      </c>
      <c r="AD167" s="1">
        <f t="shared" ref="AD167:AD169" si="408">N167*(1-N167)</f>
        <v>3.4742692233107254E-2</v>
      </c>
      <c r="AE167" s="1">
        <f t="shared" ref="AE167:AE169" si="409" xml:space="preserve"> O167*(1-O167)</f>
        <v>5.4205160792201126E-2</v>
      </c>
      <c r="AF167" s="1">
        <v>1</v>
      </c>
      <c r="AG167" s="1">
        <f t="shared" ref="AG167:AG169" si="410">J167</f>
        <v>0</v>
      </c>
      <c r="AH167" s="1">
        <f t="shared" ref="AH167:AH169" si="411">K167</f>
        <v>1</v>
      </c>
      <c r="AI167" s="1"/>
      <c r="AJ167" s="1"/>
      <c r="AK167" s="1">
        <v>1</v>
      </c>
      <c r="AL167" s="1">
        <f t="shared" ref="AL167:AL169" si="412">J167</f>
        <v>0</v>
      </c>
      <c r="AM167" s="8">
        <f t="shared" ref="AM167:AM169" si="413">K167</f>
        <v>1</v>
      </c>
      <c r="AN167" s="1">
        <f t="shared" ref="AN167:AN169" si="414">S167*T167*AB167*AD167*AF167</f>
        <v>7.5630926603853735E-3</v>
      </c>
      <c r="AO167" s="1">
        <f t="shared" ref="AO167:AO169" si="415">S167*T167*AB167*AD167*AG167</f>
        <v>0</v>
      </c>
      <c r="AP167" s="1">
        <f t="shared" ref="AP167:AP169" si="416">S167*T167*AB167*AD167*AH167</f>
        <v>7.5630926603853735E-3</v>
      </c>
      <c r="AQ167" s="1">
        <f t="shared" ref="AQ167:AQ169" si="417">S167*T167*AC167*AE167*AK167</f>
        <v>9.3312459798689917E-3</v>
      </c>
      <c r="AR167" s="1">
        <f t="shared" ref="AR167:AR169" si="418">S167*T167*AC167*AE167*AL167</f>
        <v>0</v>
      </c>
      <c r="AS167" s="8">
        <f t="shared" ref="AS167:AS169" si="419">S167*T167*AC167*AE167*AM167</f>
        <v>9.3312459798689917E-3</v>
      </c>
      <c r="AT167" s="1"/>
    </row>
    <row r="168" spans="1:4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3">
        <v>1</v>
      </c>
      <c r="K168" s="3">
        <v>0</v>
      </c>
      <c r="L168" s="1" cm="1">
        <f t="array" ref="L168">INDEX(B:B, 14 + INT((ROW()-14)/8)*8)*J168
+ INDEX(C:C, 14 + INT((ROW()-14)/8)*8)*K168
+ INDEX(A:A, 14 + INT((ROW()-14)/8)*8)</f>
        <v>-1.5732612152557719</v>
      </c>
      <c r="M168" s="1" cm="1">
        <f t="array" ref="M168">INDEX(E:E, 14 + INT((ROW()-14)/8)*8)*J168
+ INDEX(F:F, 14 + INT((ROW()-14)/8)*8)*K168
+ INDEX(D:D, 14 + INT((ROW()-14)/8)*8)</f>
        <v>-2.9532334981103667</v>
      </c>
      <c r="N168" s="1">
        <f t="shared" si="399"/>
        <v>0.17175197657433372</v>
      </c>
      <c r="O168" s="1">
        <f t="shared" si="400"/>
        <v>4.9583909723205179E-2</v>
      </c>
      <c r="P168" s="1" cm="1">
        <f t="array" ref="P168">INDEX(H:H, 14 + INT((ROW()-14)/8)*8)*N168
+ INDEX(I:I, 14 + INT((ROW()-14)/8)*8)*O168
+ INDEX(G:G, 14 + INT((ROW()-14)/8)*8)</f>
        <v>0.99871798090314301</v>
      </c>
      <c r="Q168" s="1">
        <f t="shared" si="401"/>
        <v>0.73080644372366999</v>
      </c>
      <c r="R168" s="8">
        <f>($C$6-Q168)^2</f>
        <v>7.2465170740697651E-2</v>
      </c>
      <c r="S168" s="1">
        <f>2*(Q168-$C$6)</f>
        <v>-0.53838711255266003</v>
      </c>
      <c r="T168" s="1">
        <f t="shared" si="402"/>
        <v>0.19672838553563235</v>
      </c>
      <c r="U168" s="1">
        <v>1</v>
      </c>
      <c r="V168" s="1">
        <f t="shared" si="403"/>
        <v>0.17175197657433372</v>
      </c>
      <c r="W168" s="8">
        <f t="shared" si="404"/>
        <v>4.9583909723205179E-2</v>
      </c>
      <c r="X168" s="1">
        <f t="shared" si="405"/>
        <v>-0.10591602744567559</v>
      </c>
      <c r="Y168" s="1">
        <f t="shared" si="406"/>
        <v>-1.8191287064696162E-2</v>
      </c>
      <c r="Z168" s="8">
        <f t="shared" si="407"/>
        <v>-5.2517307431069003E-3</v>
      </c>
      <c r="AA168" s="1">
        <f>2*(Q168-$C$6)</f>
        <v>-0.53838711255266003</v>
      </c>
      <c r="AB168" s="1" cm="1">
        <f t="array" ref="AB168">INDEX(H:H, 14 + INT((ROW()-14)/8)*8)</f>
        <v>-4.5622789225713962</v>
      </c>
      <c r="AC168" s="1" cm="1">
        <f t="array" ref="AC168">INDEX(I:I, 14 + INT((ROW()-14)/8)*8)</f>
        <v>-3.6078201675135895</v>
      </c>
      <c r="AD168" s="1">
        <f t="shared" si="408"/>
        <v>0.14225323511714325</v>
      </c>
      <c r="AE168" s="1">
        <f t="shared" si="409"/>
        <v>4.7125345619766217E-2</v>
      </c>
      <c r="AF168" s="1">
        <v>1</v>
      </c>
      <c r="AG168" s="1">
        <f t="shared" si="410"/>
        <v>1</v>
      </c>
      <c r="AH168" s="1">
        <f t="shared" si="411"/>
        <v>0</v>
      </c>
      <c r="AI168" s="1"/>
      <c r="AJ168" s="1"/>
      <c r="AK168" s="1">
        <v>1</v>
      </c>
      <c r="AL168" s="1">
        <f t="shared" si="412"/>
        <v>1</v>
      </c>
      <c r="AM168" s="8">
        <f t="shared" si="413"/>
        <v>0</v>
      </c>
      <c r="AN168" s="1">
        <f t="shared" si="414"/>
        <v>6.8739389143278679E-2</v>
      </c>
      <c r="AO168" s="1">
        <f t="shared" si="415"/>
        <v>6.8739389143278679E-2</v>
      </c>
      <c r="AP168" s="1">
        <f t="shared" si="416"/>
        <v>0</v>
      </c>
      <c r="AQ168" s="1">
        <f t="shared" si="417"/>
        <v>1.8007818872204279E-2</v>
      </c>
      <c r="AR168" s="1">
        <f t="shared" si="418"/>
        <v>1.8007818872204279E-2</v>
      </c>
      <c r="AS168" s="8">
        <f t="shared" si="419"/>
        <v>0</v>
      </c>
      <c r="AT168" s="1"/>
    </row>
    <row r="169" spans="1:4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3">
        <v>1</v>
      </c>
      <c r="K169" s="3">
        <v>1</v>
      </c>
      <c r="L169" s="1" cm="1">
        <f t="array" ref="L169">INDEX(B:B, 14 + INT((ROW()-14)/8)*8)*J169
+ INDEX(C:C, 14 + INT((ROW()-14)/8)*8)*K169
+ INDEX(A:A, 14 + INT((ROW()-14)/8)*8)</f>
        <v>0.97568671705820087</v>
      </c>
      <c r="M169" s="1" cm="1">
        <f t="array" ref="M169">INDEX(E:E, 14 + INT((ROW()-14)/8)*8)*J169
+ INDEX(F:F, 14 + INT((ROW()-14)/8)*8)*K169
+ INDEX(D:D, 14 + INT((ROW()-14)/8)*8)</f>
        <v>-8.2073720495148788</v>
      </c>
      <c r="N169" s="1">
        <f t="shared" si="399"/>
        <v>0.72625152885798028</v>
      </c>
      <c r="O169" s="1">
        <f t="shared" si="400"/>
        <v>2.7256194499508099E-4</v>
      </c>
      <c r="P169" s="1" cm="1">
        <f t="array" ref="P169">INDEX(H:H, 14 + INT((ROW()-14)/8)*8)*N169
+ INDEX(I:I, 14 + INT((ROW()-14)/8)*8)*O169
+ INDEX(G:G, 14 + INT((ROW()-14)/8)*8)</f>
        <v>-1.353157164054311</v>
      </c>
      <c r="Q169" s="1">
        <f t="shared" si="401"/>
        <v>0.20535469341130716</v>
      </c>
      <c r="R169" s="8">
        <f>($C$7-Q169)^2</f>
        <v>4.217055010605196E-2</v>
      </c>
      <c r="S169" s="1">
        <f>2*(Q169-$C$7)</f>
        <v>0.41070938682261432</v>
      </c>
      <c r="T169" s="1">
        <f t="shared" si="402"/>
        <v>0.16318414330525519</v>
      </c>
      <c r="U169" s="1">
        <v>1</v>
      </c>
      <c r="V169" s="1">
        <f t="shared" si="403"/>
        <v>0.72625152885798028</v>
      </c>
      <c r="W169" s="8">
        <f t="shared" si="404"/>
        <v>2.7256194499508099E-4</v>
      </c>
      <c r="X169" s="1">
        <f t="shared" si="405"/>
        <v>6.7021259436074981E-2</v>
      </c>
      <c r="Y169" s="1">
        <f t="shared" si="406"/>
        <v>4.8674292131436793E-2</v>
      </c>
      <c r="Z169" s="8">
        <f t="shared" si="407"/>
        <v>1.8267444827916523E-5</v>
      </c>
      <c r="AA169" s="1">
        <f>2*(Q169-$C$7)</f>
        <v>0.41070938682261432</v>
      </c>
      <c r="AB169" s="1" cm="1">
        <f t="array" ref="AB169">INDEX(H:H, 14 + INT((ROW()-14)/8)*8)</f>
        <v>-4.5622789225713962</v>
      </c>
      <c r="AC169" s="1" cm="1">
        <f t="array" ref="AC169">INDEX(I:I, 14 + INT((ROW()-14)/8)*8)</f>
        <v>-3.6078201675135895</v>
      </c>
      <c r="AD169" s="1">
        <f t="shared" si="408"/>
        <v>0.19881024568942651</v>
      </c>
      <c r="AE169" s="1">
        <f t="shared" si="409"/>
        <v>2.7248765498122152E-4</v>
      </c>
      <c r="AF169" s="1">
        <v>1</v>
      </c>
      <c r="AG169" s="1">
        <f t="shared" si="410"/>
        <v>1</v>
      </c>
      <c r="AH169" s="1">
        <f t="shared" si="411"/>
        <v>1</v>
      </c>
      <c r="AI169" s="1"/>
      <c r="AJ169" s="1"/>
      <c r="AK169" s="1">
        <v>1</v>
      </c>
      <c r="AL169" s="1">
        <f t="shared" si="412"/>
        <v>1</v>
      </c>
      <c r="AM169" s="8">
        <f t="shared" si="413"/>
        <v>1</v>
      </c>
      <c r="AN169" s="1">
        <f t="shared" si="414"/>
        <v>-6.079014506390161E-2</v>
      </c>
      <c r="AO169" s="1">
        <f t="shared" si="415"/>
        <v>-6.079014506390161E-2</v>
      </c>
      <c r="AP169" s="1">
        <f t="shared" si="416"/>
        <v>-6.079014506390161E-2</v>
      </c>
      <c r="AQ169" s="1">
        <f t="shared" si="417"/>
        <v>-6.5887692485351913E-5</v>
      </c>
      <c r="AR169" s="1">
        <f t="shared" si="418"/>
        <v>-6.5887692485351913E-5</v>
      </c>
      <c r="AS169" s="8">
        <f t="shared" si="419"/>
        <v>-6.5887692485351913E-5</v>
      </c>
      <c r="AT169" s="1"/>
    </row>
    <row r="170" spans="1:4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6">
        <f>SUM(R166:R169)</f>
        <v>0.18406894013146546</v>
      </c>
      <c r="S170" s="1"/>
      <c r="T170" s="1"/>
      <c r="U170" s="1"/>
      <c r="V170" s="1"/>
      <c r="W170" s="1"/>
      <c r="X170" s="1">
        <f>AVERAGE(X166:X169)</f>
        <v>-5.4054318094284015E-3</v>
      </c>
      <c r="Y170" s="1">
        <f>AVERAGE(Y166:Y169)</f>
        <v>7.2381629758868429E-3</v>
      </c>
      <c r="Z170" s="1">
        <f>AVERAGE(Z166:Z169)</f>
        <v>1.2970960240304677E-2</v>
      </c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>
        <f>AVERAGE(AN166:AN169)</f>
        <v>3.6627202876724045E-3</v>
      </c>
      <c r="AO170" s="1">
        <f>AVERAGE(AO166:AO169)</f>
        <v>1.9873110198442671E-3</v>
      </c>
      <c r="AP170" s="1">
        <f xml:space="preserve"> AVERAGE(AP166:AP169)</f>
        <v>-1.330676310087906E-2</v>
      </c>
      <c r="AQ170" s="1">
        <f>AVERAGE(AQ166:AQ169)</f>
        <v>2.5592276185548548E-3</v>
      </c>
      <c r="AR170" s="1">
        <f>AVERAGE(AR166:AR169)</f>
        <v>4.4854827949297321E-3</v>
      </c>
      <c r="AS170" s="1">
        <f>AVERAGE(AS166:AS169)</f>
        <v>2.3163395718459098E-3</v>
      </c>
      <c r="AT170" s="1"/>
    </row>
    <row r="171" spans="1:4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6" ht="15" thickBot="1" x14ac:dyDescent="0.35">
      <c r="A172" s="1" t="s">
        <v>38</v>
      </c>
      <c r="B172" s="1">
        <v>20</v>
      </c>
      <c r="C172" s="1"/>
      <c r="D172" s="1"/>
      <c r="E172" s="1"/>
      <c r="F172" s="1"/>
      <c r="G172" s="1"/>
      <c r="H172" s="1"/>
      <c r="I172" s="1"/>
      <c r="J172" s="30" t="s">
        <v>7</v>
      </c>
      <c r="K172" s="31"/>
      <c r="L172" s="30" t="s">
        <v>8</v>
      </c>
      <c r="M172" s="31"/>
      <c r="N172" s="30" t="s">
        <v>9</v>
      </c>
      <c r="O172" s="31"/>
      <c r="P172" s="1"/>
      <c r="Q172" s="9" t="s">
        <v>10</v>
      </c>
      <c r="R172" s="10" t="s">
        <v>11</v>
      </c>
      <c r="S172" s="1"/>
      <c r="T172" s="11"/>
      <c r="U172" s="23" t="s">
        <v>13</v>
      </c>
      <c r="V172" s="24"/>
      <c r="W172" s="26"/>
      <c r="X172" s="32" t="s">
        <v>12</v>
      </c>
      <c r="Y172" s="33"/>
      <c r="Z172" s="34"/>
      <c r="AA172" s="35"/>
      <c r="AB172" s="25"/>
      <c r="AC172" s="21"/>
      <c r="AD172" s="22"/>
      <c r="AE172" s="11"/>
      <c r="AF172" s="11"/>
      <c r="AG172" s="23" t="s">
        <v>44</v>
      </c>
      <c r="AH172" s="24"/>
      <c r="AI172" s="25"/>
      <c r="AJ172" s="17"/>
      <c r="AK172" s="17"/>
      <c r="AL172" s="23" t="s">
        <v>45</v>
      </c>
      <c r="AM172" s="24"/>
      <c r="AN172" s="26"/>
      <c r="AO172" s="27" t="s">
        <v>12</v>
      </c>
      <c r="AP172" s="28"/>
      <c r="AQ172" s="28"/>
      <c r="AR172" s="28"/>
      <c r="AS172" s="28"/>
      <c r="AT172" s="29"/>
    </row>
    <row r="173" spans="1:46" ht="15" thickBot="1" x14ac:dyDescent="0.35">
      <c r="A173" s="12" t="s">
        <v>14</v>
      </c>
      <c r="B173" s="12" t="s">
        <v>15</v>
      </c>
      <c r="C173" s="12" t="s">
        <v>16</v>
      </c>
      <c r="D173" s="12" t="s">
        <v>17</v>
      </c>
      <c r="E173" s="12" t="s">
        <v>18</v>
      </c>
      <c r="F173" s="12" t="s">
        <v>19</v>
      </c>
      <c r="G173" s="12" t="s">
        <v>20</v>
      </c>
      <c r="H173" s="12" t="s">
        <v>21</v>
      </c>
      <c r="I173" s="12" t="s">
        <v>22</v>
      </c>
      <c r="J173" s="12" t="s">
        <v>23</v>
      </c>
      <c r="K173" s="12" t="s">
        <v>24</v>
      </c>
      <c r="L173" s="12" t="s">
        <v>39</v>
      </c>
      <c r="M173" s="12" t="s">
        <v>40</v>
      </c>
      <c r="N173" s="12" t="s">
        <v>41</v>
      </c>
      <c r="O173" s="12" t="s">
        <v>42</v>
      </c>
      <c r="P173" s="12" t="s">
        <v>25</v>
      </c>
      <c r="Q173" s="12" t="s">
        <v>26</v>
      </c>
      <c r="R173" s="13" t="s">
        <v>27</v>
      </c>
      <c r="S173" s="12" t="s">
        <v>43</v>
      </c>
      <c r="T173" s="12" t="s">
        <v>31</v>
      </c>
      <c r="U173" s="12" t="s">
        <v>28</v>
      </c>
      <c r="V173" s="12" t="s">
        <v>29</v>
      </c>
      <c r="W173" s="13" t="s">
        <v>30</v>
      </c>
      <c r="X173" s="12" t="s">
        <v>28</v>
      </c>
      <c r="Y173" s="12" t="s">
        <v>29</v>
      </c>
      <c r="Z173" s="13" t="s">
        <v>30</v>
      </c>
      <c r="AA173" s="12" t="s">
        <v>50</v>
      </c>
      <c r="AB173" s="12" t="s">
        <v>48</v>
      </c>
      <c r="AC173" s="12" t="s">
        <v>49</v>
      </c>
      <c r="AD173" s="12" t="s">
        <v>46</v>
      </c>
      <c r="AE173" s="12" t="s">
        <v>47</v>
      </c>
      <c r="AF173" s="12" t="s">
        <v>32</v>
      </c>
      <c r="AG173" s="12" t="s">
        <v>33</v>
      </c>
      <c r="AH173" s="12" t="s">
        <v>34</v>
      </c>
      <c r="AI173" s="12"/>
      <c r="AJ173" s="12"/>
      <c r="AK173" s="12" t="s">
        <v>35</v>
      </c>
      <c r="AL173" s="12" t="s">
        <v>36</v>
      </c>
      <c r="AM173" s="13" t="s">
        <v>37</v>
      </c>
      <c r="AN173" s="12" t="s">
        <v>32</v>
      </c>
      <c r="AO173" s="12" t="s">
        <v>33</v>
      </c>
      <c r="AP173" s="12" t="s">
        <v>34</v>
      </c>
      <c r="AQ173" s="12" t="s">
        <v>35</v>
      </c>
      <c r="AR173" s="12" t="s">
        <v>36</v>
      </c>
      <c r="AS173" s="13" t="s">
        <v>37</v>
      </c>
      <c r="AT173" s="1"/>
    </row>
    <row r="174" spans="1:46" ht="15" thickBot="1" x14ac:dyDescent="0.35">
      <c r="A174" s="3" cm="1">
        <f t="array" ref="A174">INDEX(A:A, 14 + INT((ROW()-18)/8)*8)
 - $C$9 *
 INDEX(AN:AN, 18 + INT((ROW()-18)/8)*8)</f>
        <v>-5.8536330812638075</v>
      </c>
      <c r="B174" s="3" cm="1">
        <f t="array" ref="B174">INDEX(B:B, 14 + INT((ROW()-18)/8)*8)
 - $C$9 *
 INDEX(AO:AO, 18 + INT((ROW()-18)/8)*8)</f>
        <v>4.252121709470452</v>
      </c>
      <c r="C174" s="3" cm="1">
        <f t="array" ref="C174">INDEX(C:C, 14 + INT((ROW()-18)/8)*8)
 - $C$9 *
 INDEX(AP:AP, 18 + INT((ROW()-18)/8)*8)</f>
        <v>2.6154817478183681</v>
      </c>
      <c r="D174" s="3" cm="1">
        <f t="array" ref="D174">INDEX(D:D, 14 + INT((ROW()-18)/8)*8)
 - $C$9 *
 INDEX(AQ:AQ, 18 + INT((ROW()-18)/8)*8)</f>
        <v>2.4448293360356863</v>
      </c>
      <c r="E174" s="3" cm="1">
        <f t="array" ref="E174">INDEX(E:E, 14 + INT((ROW()-18)/8)*8)
 - $C$9 *
 INDEX(AR:AR, 18 + INT((ROW()-18)/8)*8)</f>
        <v>-5.4332863862134761</v>
      </c>
      <c r="F174" s="3" cm="1">
        <f t="array" ref="F174">INDEX(F:F, 14 + INT((ROW()-18)/8)*8)
 - $C$9 *
 INDEX(AS:AS, 18 + INT((ROW()-18)/8)*8)</f>
        <v>-5.2657202492637412</v>
      </c>
      <c r="G174" s="3" cm="1">
        <f t="array" ref="G174">INDEX(G:G, 14 + INT((ROW()-18)/8)*8)
 - $C$9 *
 INDEX(X:X, 18 + INT((ROW()-18)/8)*8)</f>
        <v>1.9882153920688967</v>
      </c>
      <c r="H174" s="3" cm="1">
        <f t="array" ref="H174">INDEX(H:H, 14 + INT((ROW()-18)/8)*8)
 - $C$9 *
 INDEX(Y:Y, 18 + INT((ROW()-18)/8)*8)</f>
        <v>-4.5984697374508308</v>
      </c>
      <c r="I174" s="3" cm="1">
        <f t="array" ref="I174">INDEX(I:I, 14 + INT((ROW()-18)/8)*8)
 - $C$9 *
 INDEX(Z:Z, 18 + INT((ROW()-18)/8)*8)</f>
        <v>-3.6726749687151128</v>
      </c>
      <c r="J174" s="3">
        <v>0</v>
      </c>
      <c r="K174" s="3">
        <v>0</v>
      </c>
      <c r="L174" s="1" cm="1">
        <f t="array" ref="L174">INDEX(B:B, 14 + INT((ROW()-14)/8)*8)*J174
+ INDEX(C:C, 14 + INT((ROW()-14)/8)*8)*K174
+ INDEX(A:A, 14 + INT((ROW()-14)/8)*8)</f>
        <v>-5.8536330812638075</v>
      </c>
      <c r="M174" s="1" cm="1">
        <f t="array" ref="M174">INDEX(E:E, 14 + INT((ROW()-14)/8)*8)*J174
+ INDEX(F:F, 14 + INT((ROW()-14)/8)*8)*K174
+ INDEX(D:D, 14 + INT((ROW()-14)/8)*8)</f>
        <v>2.4448293360356863</v>
      </c>
      <c r="N174" s="1">
        <f>1/(1+EXP(-L174))</f>
        <v>2.861245019220656E-3</v>
      </c>
      <c r="O174" s="1">
        <f>1/(1+EXP(-M174))</f>
        <v>0.92018250695973636</v>
      </c>
      <c r="P174" s="1" cm="1">
        <f t="array" ref="P174">INDEX(H:H, 14 + INT((ROW()-14)/8)*8)*N174
+ INDEX(I:I, 14 + INT((ROW()-14)/8)*8)*O174
+ INDEX(G:G, 14 + INT((ROW()-14)/8)*8)</f>
        <v>-1.4044732165239653</v>
      </c>
      <c r="Q174" s="1">
        <f>1/(1+EXP(-P174))</f>
        <v>0.19710723892491833</v>
      </c>
      <c r="R174" s="8">
        <f>($C$4-Q174)^2</f>
        <v>3.8851263636604835E-2</v>
      </c>
      <c r="S174" s="1">
        <f>2*(Q174-$C$4)</f>
        <v>0.39421447784983665</v>
      </c>
      <c r="T174" s="1">
        <f>Q174*(1-Q174)</f>
        <v>0.15825597528831348</v>
      </c>
      <c r="U174" s="1">
        <v>1</v>
      </c>
      <c r="V174" s="1">
        <f>N174</f>
        <v>2.861245019220656E-3</v>
      </c>
      <c r="W174" s="8">
        <f>O174</f>
        <v>0.92018250695973636</v>
      </c>
      <c r="X174" s="1">
        <f>S174*T174*U174</f>
        <v>6.2386796664899151E-2</v>
      </c>
      <c r="Y174" s="1">
        <f>S174*T174*V174</f>
        <v>1.7850391122257452E-4</v>
      </c>
      <c r="Z174" s="8">
        <f>S174*T174*W174</f>
        <v>5.7407238956294217E-2</v>
      </c>
      <c r="AA174" s="1">
        <f>2*(Q174-$C$4)</f>
        <v>0.39421447784983665</v>
      </c>
      <c r="AB174" s="1" cm="1">
        <f t="array" ref="AB174">INDEX(H:H, 14 + INT((ROW()-14)/8)*8)</f>
        <v>-4.5984697374508308</v>
      </c>
      <c r="AC174" s="1" cm="1">
        <f t="array" ref="AC174">INDEX(I:I, 14 + INT((ROW()-14)/8)*8)</f>
        <v>-3.6726749687151128</v>
      </c>
      <c r="AD174" s="1">
        <f>N174*(1-N174)</f>
        <v>2.853058296160641E-3</v>
      </c>
      <c r="AE174" s="1">
        <f xml:space="preserve"> O174*(1-O174)</f>
        <v>7.3446660845031111E-2</v>
      </c>
      <c r="AF174" s="1">
        <v>1</v>
      </c>
      <c r="AG174" s="1">
        <f>J174</f>
        <v>0</v>
      </c>
      <c r="AH174" s="1">
        <f>K174</f>
        <v>0</v>
      </c>
      <c r="AI174" s="1"/>
      <c r="AJ174" s="1"/>
      <c r="AK174" s="1">
        <v>1</v>
      </c>
      <c r="AL174" s="1">
        <f>J174</f>
        <v>0</v>
      </c>
      <c r="AM174" s="8">
        <f>K174</f>
        <v>0</v>
      </c>
      <c r="AN174" s="1">
        <f>S174*T174*AB174*AD174*AF174</f>
        <v>-8.1849619558143087E-4</v>
      </c>
      <c r="AO174" s="1">
        <f>S174*T174*AB174*AD174*AG174</f>
        <v>0</v>
      </c>
      <c r="AP174" s="1">
        <f>S174*T174*AB174*AD174*AH174</f>
        <v>0</v>
      </c>
      <c r="AQ174" s="1">
        <f>S174*T174*AC174*AE174*AK174</f>
        <v>-1.6828570937007861E-2</v>
      </c>
      <c r="AR174" s="1">
        <f>S174*T174*AC174*AE174*AL174</f>
        <v>0</v>
      </c>
      <c r="AS174" s="8">
        <f>S174*T174*AC174*AE174*AM174</f>
        <v>0</v>
      </c>
      <c r="AT174" s="1"/>
    </row>
    <row r="175" spans="1:4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3">
        <v>0</v>
      </c>
      <c r="K175" s="3">
        <v>1</v>
      </c>
      <c r="L175" s="1" cm="1">
        <f t="array" ref="L175">INDEX(B:B, 14 + INT((ROW()-14)/8)*8)*J175
+ INDEX(C:C, 14 + INT((ROW()-14)/8)*8)*K175
+ INDEX(A:A, 14 + INT((ROW()-14)/8)*8)</f>
        <v>-3.2381513334454395</v>
      </c>
      <c r="M175" s="1" cm="1">
        <f t="array" ref="M175">INDEX(E:E, 14 + INT((ROW()-14)/8)*8)*J175
+ INDEX(F:F, 14 + INT((ROW()-14)/8)*8)*K175
+ INDEX(D:D, 14 + INT((ROW()-14)/8)*8)</f>
        <v>-2.8208909132280549</v>
      </c>
      <c r="N175" s="1">
        <f t="shared" ref="N175:N177" si="420">1/(1+EXP(-L175))</f>
        <v>3.7754994379624263E-2</v>
      </c>
      <c r="O175" s="1">
        <f t="shared" ref="O175:O177" si="421">1/(1+EXP(-M175))</f>
        <v>5.6205654983949714E-2</v>
      </c>
      <c r="P175" s="1" cm="1">
        <f t="array" ref="P175">INDEX(H:H, 14 + INT((ROW()-14)/8)*8)*N175
+ INDEX(I:I, 14 + INT((ROW()-14)/8)*8)*O175
+ INDEX(G:G, 14 + INT((ROW()-14)/8)*8)</f>
        <v>1.6081750908167785</v>
      </c>
      <c r="Q175" s="1">
        <f t="shared" ref="Q175:Q177" si="422">1/(1+EXP(-P175))</f>
        <v>0.83315786760471844</v>
      </c>
      <c r="R175" s="8">
        <f>($C$5-Q175)^2</f>
        <v>2.7836297142204661E-2</v>
      </c>
      <c r="S175" s="1">
        <f>2*(Q175-$C$5)</f>
        <v>-0.33368426479056312</v>
      </c>
      <c r="T175" s="1">
        <f t="shared" ref="T175:T177" si="423">Q175*(1-Q175)</f>
        <v>0.13900583525307689</v>
      </c>
      <c r="U175" s="1">
        <v>1</v>
      </c>
      <c r="V175" s="1">
        <f t="shared" ref="V175:V177" si="424">N175</f>
        <v>3.7754994379624263E-2</v>
      </c>
      <c r="W175" s="8">
        <f t="shared" ref="W175:W177" si="425">O175</f>
        <v>5.6205654983949714E-2</v>
      </c>
      <c r="X175" s="1">
        <f t="shared" ref="X175:X177" si="426">S175*T175*U175</f>
        <v>-4.6384059938021104E-2</v>
      </c>
      <c r="Y175" s="1">
        <f t="shared" ref="Y175:Y177" si="427">S175*T175*V175</f>
        <v>-1.7512299222641418E-3</v>
      </c>
      <c r="Z175" s="8">
        <f t="shared" ref="Z175:Z177" si="428">S175*T175*W175</f>
        <v>-2.6070464696312579E-3</v>
      </c>
      <c r="AA175" s="1">
        <f>2*(Q175-$C$5)</f>
        <v>-0.33368426479056312</v>
      </c>
      <c r="AB175" s="1" cm="1">
        <f t="array" ref="AB175">INDEX(H:H, 14 + INT((ROW()-14)/8)*8)</f>
        <v>-4.5984697374508308</v>
      </c>
      <c r="AC175" s="1" cm="1">
        <f t="array" ref="AC175">INDEX(I:I, 14 + INT((ROW()-14)/8)*8)</f>
        <v>-3.6726749687151128</v>
      </c>
      <c r="AD175" s="1">
        <f t="shared" ref="AD175:AD177" si="429">N175*(1-N175)</f>
        <v>3.6329554779018801E-2</v>
      </c>
      <c r="AE175" s="1">
        <f t="shared" ref="AE175:AE177" si="430" xml:space="preserve"> O175*(1-O175)</f>
        <v>5.3046579331774923E-2</v>
      </c>
      <c r="AF175" s="1">
        <v>1</v>
      </c>
      <c r="AG175" s="1">
        <f t="shared" ref="AG175:AG177" si="431">J175</f>
        <v>0</v>
      </c>
      <c r="AH175" s="1">
        <f t="shared" ref="AH175:AH177" si="432">K175</f>
        <v>1</v>
      </c>
      <c r="AI175" s="1"/>
      <c r="AJ175" s="1"/>
      <c r="AK175" s="1">
        <v>1</v>
      </c>
      <c r="AL175" s="1">
        <f t="shared" ref="AL175:AL177" si="433">J175</f>
        <v>0</v>
      </c>
      <c r="AM175" s="8">
        <f t="shared" ref="AM175:AM177" si="434">K175</f>
        <v>1</v>
      </c>
      <c r="AN175" s="1">
        <f t="shared" ref="AN175:AN177" si="435">S175*T175*AB175*AD175*AF175</f>
        <v>7.7489376692396941E-3</v>
      </c>
      <c r="AO175" s="1">
        <f t="shared" ref="AO175:AO177" si="436">S175*T175*AB175*AD175*AG175</f>
        <v>0</v>
      </c>
      <c r="AP175" s="1">
        <f t="shared" ref="AP175:AP177" si="437">S175*T175*AB175*AD175*AH175</f>
        <v>7.7489376692396941E-3</v>
      </c>
      <c r="AQ175" s="1">
        <f t="shared" ref="AQ175:AQ177" si="438">S175*T175*AC175*AE175*AK175</f>
        <v>9.0366744774628745E-3</v>
      </c>
      <c r="AR175" s="1">
        <f t="shared" ref="AR175:AR177" si="439">S175*T175*AC175*AE175*AL175</f>
        <v>0</v>
      </c>
      <c r="AS175" s="8">
        <f t="shared" ref="AS175:AS177" si="440">S175*T175*AC175*AE175*AM175</f>
        <v>9.0366744774628745E-3</v>
      </c>
      <c r="AT175" s="1"/>
    </row>
    <row r="176" spans="1:4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3">
        <v>1</v>
      </c>
      <c r="K176" s="3">
        <v>0</v>
      </c>
      <c r="L176" s="1" cm="1">
        <f t="array" ref="L176">INDEX(B:B, 14 + INT((ROW()-14)/8)*8)*J176
+ INDEX(C:C, 14 + INT((ROW()-14)/8)*8)*K176
+ INDEX(A:A, 14 + INT((ROW()-14)/8)*8)</f>
        <v>-1.6015113717933556</v>
      </c>
      <c r="M176" s="1" cm="1">
        <f t="array" ref="M176">INDEX(E:E, 14 + INT((ROW()-14)/8)*8)*J176
+ INDEX(F:F, 14 + INT((ROW()-14)/8)*8)*K176
+ INDEX(D:D, 14 + INT((ROW()-14)/8)*8)</f>
        <v>-2.9884570501777898</v>
      </c>
      <c r="N176" s="1">
        <f t="shared" si="420"/>
        <v>0.167770485798651</v>
      </c>
      <c r="O176" s="1">
        <f t="shared" si="421"/>
        <v>4.7950077739412421E-2</v>
      </c>
      <c r="P176" s="1" cm="1">
        <f t="array" ref="P176">INDEX(H:H, 14 + INT((ROW()-14)/8)*8)*N176
+ INDEX(I:I, 14 + INT((ROW()-14)/8)*8)*O176
+ INDEX(G:G, 14 + INT((ROW()-14)/8)*8)</f>
        <v>1.040622840024892</v>
      </c>
      <c r="Q176" s="1">
        <f t="shared" si="422"/>
        <v>0.73897016560775852</v>
      </c>
      <c r="R176" s="8">
        <f>($C$6-Q176)^2</f>
        <v>6.8136574442841005E-2</v>
      </c>
      <c r="S176" s="1">
        <f>2*(Q176-$C$6)</f>
        <v>-0.52205966878448296</v>
      </c>
      <c r="T176" s="1">
        <f t="shared" si="423"/>
        <v>0.19289325994940046</v>
      </c>
      <c r="U176" s="1">
        <v>1</v>
      </c>
      <c r="V176" s="1">
        <f t="shared" si="424"/>
        <v>0.167770485798651</v>
      </c>
      <c r="W176" s="8">
        <f t="shared" si="425"/>
        <v>4.7950077739412421E-2</v>
      </c>
      <c r="X176" s="1">
        <f t="shared" si="426"/>
        <v>-0.10070179139994317</v>
      </c>
      <c r="Y176" s="1">
        <f t="shared" si="427"/>
        <v>-1.6894788463962883E-2</v>
      </c>
      <c r="Z176" s="8">
        <f t="shared" si="428"/>
        <v>-4.8286587261253686E-3</v>
      </c>
      <c r="AA176" s="1">
        <f>2*(Q176-$C$6)</f>
        <v>-0.52205966878448296</v>
      </c>
      <c r="AB176" s="1" cm="1">
        <f t="array" ref="AB176">INDEX(H:H, 14 + INT((ROW()-14)/8)*8)</f>
        <v>-4.5984697374508308</v>
      </c>
      <c r="AC176" s="1" cm="1">
        <f t="array" ref="AC176">INDEX(I:I, 14 + INT((ROW()-14)/8)*8)</f>
        <v>-3.6726749687151128</v>
      </c>
      <c r="AD176" s="1">
        <f t="shared" si="429"/>
        <v>0.13962354989353565</v>
      </c>
      <c r="AE176" s="1">
        <f t="shared" si="430"/>
        <v>4.5650867784196726E-2</v>
      </c>
      <c r="AF176" s="1">
        <v>1</v>
      </c>
      <c r="AG176" s="1">
        <f t="shared" si="431"/>
        <v>1</v>
      </c>
      <c r="AH176" s="1">
        <f t="shared" si="432"/>
        <v>0</v>
      </c>
      <c r="AI176" s="1"/>
      <c r="AJ176" s="1"/>
      <c r="AK176" s="1">
        <v>1</v>
      </c>
      <c r="AL176" s="1">
        <f t="shared" si="433"/>
        <v>1</v>
      </c>
      <c r="AM176" s="8">
        <f t="shared" si="434"/>
        <v>0</v>
      </c>
      <c r="AN176" s="1">
        <f t="shared" si="435"/>
        <v>6.4656055326959838E-2</v>
      </c>
      <c r="AO176" s="1">
        <f t="shared" si="436"/>
        <v>6.4656055326959838E-2</v>
      </c>
      <c r="AP176" s="1">
        <f t="shared" si="437"/>
        <v>0</v>
      </c>
      <c r="AQ176" s="1">
        <f t="shared" si="438"/>
        <v>1.6883742848248586E-2</v>
      </c>
      <c r="AR176" s="1">
        <f t="shared" si="439"/>
        <v>1.6883742848248586E-2</v>
      </c>
      <c r="AS176" s="8">
        <f t="shared" si="440"/>
        <v>0</v>
      </c>
      <c r="AT176" s="1"/>
    </row>
    <row r="177" spans="1:4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3">
        <v>1</v>
      </c>
      <c r="K177" s="3">
        <v>1</v>
      </c>
      <c r="L177" s="1" cm="1">
        <f t="array" ref="L177">INDEX(B:B, 14 + INT((ROW()-14)/8)*8)*J177
+ INDEX(C:C, 14 + INT((ROW()-14)/8)*8)*K177
+ INDEX(A:A, 14 + INT((ROW()-14)/8)*8)</f>
        <v>1.0139703760250125</v>
      </c>
      <c r="M177" s="1" cm="1">
        <f t="array" ref="M177">INDEX(E:E, 14 + INT((ROW()-14)/8)*8)*J177
+ INDEX(F:F, 14 + INT((ROW()-14)/8)*8)*K177
+ INDEX(D:D, 14 + INT((ROW()-14)/8)*8)</f>
        <v>-8.2541772994415314</v>
      </c>
      <c r="N177" s="1">
        <f t="shared" si="420"/>
        <v>0.7337964389937699</v>
      </c>
      <c r="O177" s="1">
        <f t="shared" si="421"/>
        <v>2.6010180781260072E-4</v>
      </c>
      <c r="P177" s="1" cm="1">
        <f t="array" ref="P177">INDEX(H:H, 14 + INT((ROW()-14)/8)*8)*N177
+ INDEX(I:I, 14 + INT((ROW()-14)/8)*8)*O177
+ INDEX(G:G, 14 + INT((ROW()-14)/8)*8)</f>
        <v>-1.38708059549201</v>
      </c>
      <c r="Q177" s="1">
        <f t="shared" si="422"/>
        <v>0.1998742321718365</v>
      </c>
      <c r="R177" s="8">
        <f>($C$7-Q177)^2</f>
        <v>3.9949708686281199E-2</v>
      </c>
      <c r="S177" s="1">
        <f>2*(Q177-$C$7)</f>
        <v>0.399748464343673</v>
      </c>
      <c r="T177" s="1">
        <f t="shared" si="423"/>
        <v>0.1599245234855553</v>
      </c>
      <c r="U177" s="1">
        <v>1</v>
      </c>
      <c r="V177" s="1">
        <f t="shared" si="424"/>
        <v>0.7337964389937699</v>
      </c>
      <c r="W177" s="8">
        <f t="shared" si="425"/>
        <v>2.6010180781260072E-4</v>
      </c>
      <c r="X177" s="1">
        <f t="shared" si="426"/>
        <v>6.3929582674244395E-2</v>
      </c>
      <c r="Y177" s="1">
        <f t="shared" si="427"/>
        <v>4.6911300112718345E-2</v>
      </c>
      <c r="Z177" s="8">
        <f t="shared" si="428"/>
        <v>1.6628200026276085E-5</v>
      </c>
      <c r="AA177" s="1">
        <f>2*(Q177-$C$7)</f>
        <v>0.399748464343673</v>
      </c>
      <c r="AB177" s="1" cm="1">
        <f t="array" ref="AB177">INDEX(H:H, 14 + INT((ROW()-14)/8)*8)</f>
        <v>-4.5984697374508308</v>
      </c>
      <c r="AC177" s="1" cm="1">
        <f t="array" ref="AC177">INDEX(I:I, 14 + INT((ROW()-14)/8)*8)</f>
        <v>-3.6726749687151128</v>
      </c>
      <c r="AD177" s="1">
        <f t="shared" si="429"/>
        <v>0.19533922511383242</v>
      </c>
      <c r="AE177" s="1">
        <f t="shared" si="430"/>
        <v>2.6003415486217335E-4</v>
      </c>
      <c r="AF177" s="1">
        <v>1</v>
      </c>
      <c r="AG177" s="1">
        <f t="shared" si="431"/>
        <v>1</v>
      </c>
      <c r="AH177" s="1">
        <f t="shared" si="432"/>
        <v>1</v>
      </c>
      <c r="AI177" s="1"/>
      <c r="AJ177" s="1"/>
      <c r="AK177" s="1">
        <v>1</v>
      </c>
      <c r="AL177" s="1">
        <f t="shared" si="433"/>
        <v>1</v>
      </c>
      <c r="AM177" s="8">
        <f t="shared" si="434"/>
        <v>1</v>
      </c>
      <c r="AN177" s="1">
        <f t="shared" si="435"/>
        <v>-5.7425483800544248E-2</v>
      </c>
      <c r="AO177" s="1">
        <f t="shared" si="436"/>
        <v>-5.7425483800544248E-2</v>
      </c>
      <c r="AP177" s="1">
        <f t="shared" si="437"/>
        <v>-5.7425483800544248E-2</v>
      </c>
      <c r="AQ177" s="1">
        <f t="shared" si="438"/>
        <v>-6.1054089600648748E-5</v>
      </c>
      <c r="AR177" s="1">
        <f t="shared" si="439"/>
        <v>-6.1054089600648748E-5</v>
      </c>
      <c r="AS177" s="8">
        <f t="shared" si="440"/>
        <v>-6.1054089600648748E-5</v>
      </c>
      <c r="AT177" s="1"/>
    </row>
    <row r="178" spans="1:4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6">
        <f>SUM(R174:R177)</f>
        <v>0.17477384390793169</v>
      </c>
      <c r="S178" s="1"/>
      <c r="T178" s="1"/>
      <c r="U178" s="1"/>
      <c r="V178" s="1"/>
      <c r="W178" s="1"/>
      <c r="X178" s="1">
        <f>AVERAGE(X174:X177)</f>
        <v>-5.192367999705183E-3</v>
      </c>
      <c r="Y178" s="1">
        <f>AVERAGE(Y174:Y177)</f>
        <v>7.1109464094284737E-3</v>
      </c>
      <c r="Z178" s="1">
        <f>AVERAGE(Z174:Z177)</f>
        <v>1.2497040490140967E-2</v>
      </c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>
        <f>AVERAGE(AN174:AN177)</f>
        <v>3.5402532500184627E-3</v>
      </c>
      <c r="AO178" s="1">
        <f>AVERAGE(AO174:AO177)</f>
        <v>1.8076428816038975E-3</v>
      </c>
      <c r="AP178" s="1">
        <f xml:space="preserve"> AVERAGE(AP174:AP177)</f>
        <v>-1.2419136532826138E-2</v>
      </c>
      <c r="AQ178" s="1">
        <f>AVERAGE(AQ174:AQ177)</f>
        <v>2.2576980747757375E-3</v>
      </c>
      <c r="AR178" s="1">
        <f>AVERAGE(AR174:AR177)</f>
        <v>4.2056721896619846E-3</v>
      </c>
      <c r="AS178" s="1">
        <f>AVERAGE(AS174:AS177)</f>
        <v>2.2439050969655563E-3</v>
      </c>
      <c r="AT178" s="1"/>
    </row>
    <row r="179" spans="1:46" ht="15" thickBot="1" x14ac:dyDescent="0.3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3"/>
      <c r="S179" s="12"/>
      <c r="T179" s="12"/>
      <c r="U179" s="12"/>
      <c r="V179" s="12"/>
      <c r="W179" s="13"/>
      <c r="X179" s="12"/>
      <c r="Y179" s="12"/>
      <c r="Z179" s="13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3"/>
      <c r="AM179" s="12"/>
      <c r="AN179" s="12"/>
      <c r="AO179" s="12"/>
      <c r="AP179" s="12"/>
      <c r="AQ179" s="12"/>
      <c r="AR179" s="13"/>
      <c r="AS179" s="1"/>
    </row>
    <row r="180" spans="1:46" ht="15" thickBot="1" x14ac:dyDescent="0.35">
      <c r="A180" s="1" t="s">
        <v>38</v>
      </c>
      <c r="B180" s="1">
        <v>21</v>
      </c>
      <c r="C180" s="1"/>
      <c r="D180" s="1"/>
      <c r="E180" s="1"/>
      <c r="F180" s="1"/>
      <c r="G180" s="1"/>
      <c r="H180" s="1"/>
      <c r="I180" s="1"/>
      <c r="J180" s="30" t="s">
        <v>7</v>
      </c>
      <c r="K180" s="31"/>
      <c r="L180" s="30" t="s">
        <v>8</v>
      </c>
      <c r="M180" s="31"/>
      <c r="N180" s="30" t="s">
        <v>9</v>
      </c>
      <c r="O180" s="31"/>
      <c r="P180" s="1"/>
      <c r="Q180" s="9" t="s">
        <v>10</v>
      </c>
      <c r="R180" s="10" t="s">
        <v>11</v>
      </c>
      <c r="S180" s="1"/>
      <c r="T180" s="11"/>
      <c r="U180" s="23" t="s">
        <v>13</v>
      </c>
      <c r="V180" s="24"/>
      <c r="W180" s="26"/>
      <c r="X180" s="32" t="s">
        <v>12</v>
      </c>
      <c r="Y180" s="33"/>
      <c r="Z180" s="34"/>
      <c r="AA180" s="35"/>
      <c r="AB180" s="25"/>
      <c r="AC180" s="21"/>
      <c r="AD180" s="22"/>
      <c r="AE180" s="11"/>
      <c r="AF180" s="11"/>
      <c r="AG180" s="23" t="s">
        <v>44</v>
      </c>
      <c r="AH180" s="24"/>
      <c r="AI180" s="25"/>
      <c r="AJ180" s="17"/>
      <c r="AK180" s="17"/>
      <c r="AL180" s="23" t="s">
        <v>45</v>
      </c>
      <c r="AM180" s="24"/>
      <c r="AN180" s="26"/>
      <c r="AO180" s="27" t="s">
        <v>12</v>
      </c>
      <c r="AP180" s="28"/>
      <c r="AQ180" s="28"/>
      <c r="AR180" s="28"/>
      <c r="AS180" s="28"/>
      <c r="AT180" s="29"/>
    </row>
    <row r="181" spans="1:46" ht="15" thickBot="1" x14ac:dyDescent="0.35">
      <c r="A181" s="12" t="s">
        <v>14</v>
      </c>
      <c r="B181" s="12" t="s">
        <v>15</v>
      </c>
      <c r="C181" s="12" t="s">
        <v>16</v>
      </c>
      <c r="D181" s="12" t="s">
        <v>17</v>
      </c>
      <c r="E181" s="12" t="s">
        <v>18</v>
      </c>
      <c r="F181" s="12" t="s">
        <v>19</v>
      </c>
      <c r="G181" s="12" t="s">
        <v>20</v>
      </c>
      <c r="H181" s="12" t="s">
        <v>21</v>
      </c>
      <c r="I181" s="12" t="s">
        <v>22</v>
      </c>
      <c r="J181" s="12" t="s">
        <v>23</v>
      </c>
      <c r="K181" s="12" t="s">
        <v>24</v>
      </c>
      <c r="L181" s="12" t="s">
        <v>39</v>
      </c>
      <c r="M181" s="12" t="s">
        <v>40</v>
      </c>
      <c r="N181" s="12" t="s">
        <v>41</v>
      </c>
      <c r="O181" s="12" t="s">
        <v>42</v>
      </c>
      <c r="P181" s="12" t="s">
        <v>25</v>
      </c>
      <c r="Q181" s="12" t="s">
        <v>26</v>
      </c>
      <c r="R181" s="13" t="s">
        <v>27</v>
      </c>
      <c r="S181" s="12" t="s">
        <v>43</v>
      </c>
      <c r="T181" s="12" t="s">
        <v>31</v>
      </c>
      <c r="U181" s="12" t="s">
        <v>28</v>
      </c>
      <c r="V181" s="12" t="s">
        <v>29</v>
      </c>
      <c r="W181" s="13" t="s">
        <v>30</v>
      </c>
      <c r="X181" s="12" t="s">
        <v>28</v>
      </c>
      <c r="Y181" s="12" t="s">
        <v>29</v>
      </c>
      <c r="Z181" s="13" t="s">
        <v>30</v>
      </c>
      <c r="AA181" s="12" t="s">
        <v>50</v>
      </c>
      <c r="AB181" s="12" t="s">
        <v>48</v>
      </c>
      <c r="AC181" s="12" t="s">
        <v>49</v>
      </c>
      <c r="AD181" s="12" t="s">
        <v>46</v>
      </c>
      <c r="AE181" s="12" t="s">
        <v>47</v>
      </c>
      <c r="AF181" s="12" t="s">
        <v>32</v>
      </c>
      <c r="AG181" s="12" t="s">
        <v>33</v>
      </c>
      <c r="AH181" s="12" t="s">
        <v>34</v>
      </c>
      <c r="AI181" s="12"/>
      <c r="AJ181" s="12"/>
      <c r="AK181" s="12" t="s">
        <v>35</v>
      </c>
      <c r="AL181" s="12" t="s">
        <v>36</v>
      </c>
      <c r="AM181" s="13" t="s">
        <v>37</v>
      </c>
      <c r="AN181" s="12" t="s">
        <v>32</v>
      </c>
      <c r="AO181" s="12" t="s">
        <v>33</v>
      </c>
      <c r="AP181" s="12" t="s">
        <v>34</v>
      </c>
      <c r="AQ181" s="12" t="s">
        <v>35</v>
      </c>
      <c r="AR181" s="12" t="s">
        <v>36</v>
      </c>
      <c r="AS181" s="13" t="s">
        <v>37</v>
      </c>
      <c r="AT181" s="1"/>
    </row>
    <row r="182" spans="1:46" ht="15" thickBot="1" x14ac:dyDescent="0.35">
      <c r="A182" s="3" cm="1">
        <f t="array" ref="A182">INDEX(A:A, 14 + INT((ROW()-18)/8)*8)
 - $C$9 *
 INDEX(AN:AN, 18 + INT((ROW()-18)/8)*8)</f>
        <v>-5.8713343475138995</v>
      </c>
      <c r="B182" s="3" cm="1">
        <f t="array" ref="B182">INDEX(B:B, 14 + INT((ROW()-18)/8)*8)
 - $C$9 *
 INDEX(AO:AO, 18 + INT((ROW()-18)/8)*8)</f>
        <v>4.2430834950624323</v>
      </c>
      <c r="C182" s="3" cm="1">
        <f t="array" ref="C182">INDEX(C:C, 14 + INT((ROW()-18)/8)*8)
 - $C$9 *
 INDEX(AP:AP, 18 + INT((ROW()-18)/8)*8)</f>
        <v>2.6775774304824989</v>
      </c>
      <c r="D182" s="3" cm="1">
        <f t="array" ref="D182">INDEX(D:D, 14 + INT((ROW()-18)/8)*8)
 - $C$9 *
 INDEX(AQ:AQ, 18 + INT((ROW()-18)/8)*8)</f>
        <v>2.4335408456618075</v>
      </c>
      <c r="E182" s="3" cm="1">
        <f t="array" ref="E182">INDEX(E:E, 14 + INT((ROW()-18)/8)*8)
 - $C$9 *
 INDEX(AR:AR, 18 + INT((ROW()-18)/8)*8)</f>
        <v>-5.4543147471617859</v>
      </c>
      <c r="F182" s="3" cm="1">
        <f t="array" ref="F182">INDEX(F:F, 14 + INT((ROW()-18)/8)*8)
 - $C$9 *
 INDEX(AS:AS, 18 + INT((ROW()-18)/8)*8)</f>
        <v>-5.2769397747485689</v>
      </c>
      <c r="G182" s="3" cm="1">
        <f t="array" ref="G182">INDEX(G:G, 14 + INT((ROW()-18)/8)*8)
 - $C$9 *
 INDEX(X:X, 18 + INT((ROW()-18)/8)*8)</f>
        <v>2.0141772320674227</v>
      </c>
      <c r="H182" s="3" cm="1">
        <f t="array" ref="H182">INDEX(H:H, 14 + INT((ROW()-18)/8)*8)
 - $C$9 *
 INDEX(Y:Y, 18 + INT((ROW()-18)/8)*8)</f>
        <v>-4.6340244694979731</v>
      </c>
      <c r="I182" s="3" cm="1">
        <f t="array" ref="I182">INDEX(I:I, 14 + INT((ROW()-18)/8)*8)
 - $C$9 *
 INDEX(Z:Z, 18 + INT((ROW()-18)/8)*8)</f>
        <v>-3.7351601711658176</v>
      </c>
      <c r="J182" s="3">
        <v>0</v>
      </c>
      <c r="K182" s="3">
        <v>0</v>
      </c>
      <c r="L182" s="1" cm="1">
        <f t="array" ref="L182">INDEX(B:B, 14 + INT((ROW()-14)/8)*8)*J182
+ INDEX(C:C, 14 + INT((ROW()-14)/8)*8)*K182
+ INDEX(A:A, 14 + INT((ROW()-14)/8)*8)</f>
        <v>-5.8713343475138995</v>
      </c>
      <c r="M182" s="1" cm="1">
        <f t="array" ref="M182">INDEX(E:E, 14 + INT((ROW()-14)/8)*8)*J182
+ INDEX(F:F, 14 + INT((ROW()-14)/8)*8)*K182
+ INDEX(D:D, 14 + INT((ROW()-14)/8)*8)</f>
        <v>2.4335408456618075</v>
      </c>
      <c r="N182" s="1">
        <f>1/(1+EXP(-L182))</f>
        <v>2.8111841170499409E-3</v>
      </c>
      <c r="O182" s="1">
        <f>1/(1+EXP(-M182))</f>
        <v>0.91934946256402228</v>
      </c>
      <c r="P182" s="1" cm="1">
        <f t="array" ref="P182">INDEX(H:H, 14 + INT((ROW()-14)/8)*8)*N182
+ INDEX(I:I, 14 + INT((ROW()-14)/8)*8)*O182
+ INDEX(G:G, 14 + INT((ROW()-14)/8)*8)</f>
        <v>-1.4327673598710864</v>
      </c>
      <c r="Q182" s="1">
        <f>1/(1+EXP(-P182))</f>
        <v>0.19266786368627276</v>
      </c>
      <c r="R182" s="8">
        <f>($C$4-Q182)^2</f>
        <v>3.7120905697432177E-2</v>
      </c>
      <c r="S182" s="1">
        <f>2*(Q182-$C$4)</f>
        <v>0.38533572737254551</v>
      </c>
      <c r="T182" s="1">
        <f>Q182*(1-Q182)</f>
        <v>0.15554695798884058</v>
      </c>
      <c r="U182" s="1">
        <v>1</v>
      </c>
      <c r="V182" s="1">
        <f>N182</f>
        <v>2.8111841170499409E-3</v>
      </c>
      <c r="W182" s="8">
        <f>O182</f>
        <v>0.91934946256402228</v>
      </c>
      <c r="X182" s="1">
        <f>S182*T182*U182</f>
        <v>5.9937800197216666E-2</v>
      </c>
      <c r="Y182" s="1">
        <f>S182*T182*V182</f>
        <v>1.684961919253283E-4</v>
      </c>
      <c r="Z182" s="8">
        <f>S182*T182*W182</f>
        <v>5.5103784398580893E-2</v>
      </c>
      <c r="AA182" s="1">
        <f>2*(Q182-$C$4)</f>
        <v>0.38533572737254551</v>
      </c>
      <c r="AB182" s="1" cm="1">
        <f t="array" ref="AB182">INDEX(H:H, 14 + INT((ROW()-14)/8)*8)</f>
        <v>-4.6340244694979731</v>
      </c>
      <c r="AC182" s="1" cm="1">
        <f t="array" ref="AC182">INDEX(I:I, 14 + INT((ROW()-14)/8)*8)</f>
        <v>-3.7351601711658176</v>
      </c>
      <c r="AD182" s="1">
        <f>N182*(1-N182)</f>
        <v>2.8032813609099871E-3</v>
      </c>
      <c r="AE182" s="1">
        <f xml:space="preserve"> O182*(1-O182)</f>
        <v>7.4146028247265683E-2</v>
      </c>
      <c r="AF182" s="1">
        <v>1</v>
      </c>
      <c r="AG182" s="1">
        <f>J182</f>
        <v>0</v>
      </c>
      <c r="AH182" s="1">
        <f>K182</f>
        <v>0</v>
      </c>
      <c r="AI182" s="1"/>
      <c r="AJ182" s="1"/>
      <c r="AK182" s="1">
        <v>1</v>
      </c>
      <c r="AL182" s="1">
        <f>J182</f>
        <v>0</v>
      </c>
      <c r="AM182" s="8">
        <f>K182</f>
        <v>0</v>
      </c>
      <c r="AN182" s="1">
        <f>S182*T182*AB182*AD182*AF182</f>
        <v>-7.78620460333598E-4</v>
      </c>
      <c r="AO182" s="1">
        <f>S182*T182*AB182*AD182*AG182</f>
        <v>0</v>
      </c>
      <c r="AP182" s="1">
        <f>S182*T182*AB182*AD182*AH182</f>
        <v>0</v>
      </c>
      <c r="AQ182" s="1">
        <f>S182*T182*AC182*AE182*AK182</f>
        <v>-1.6599611426642978E-2</v>
      </c>
      <c r="AR182" s="1">
        <f>S182*T182*AC182*AE182*AL182</f>
        <v>0</v>
      </c>
      <c r="AS182" s="8">
        <f>S182*T182*AC182*AE182*AM182</f>
        <v>0</v>
      </c>
      <c r="AT182" s="1"/>
    </row>
    <row r="183" spans="1:4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3">
        <v>0</v>
      </c>
      <c r="K183" s="3">
        <v>1</v>
      </c>
      <c r="L183" s="1" cm="1">
        <f t="array" ref="L183">INDEX(B:B, 14 + INT((ROW()-14)/8)*8)*J183
+ INDEX(C:C, 14 + INT((ROW()-14)/8)*8)*K183
+ INDEX(A:A, 14 + INT((ROW()-14)/8)*8)</f>
        <v>-3.1937569170314006</v>
      </c>
      <c r="M183" s="1" cm="1">
        <f t="array" ref="M183">INDEX(E:E, 14 + INT((ROW()-14)/8)*8)*J183
+ INDEX(F:F, 14 + INT((ROW()-14)/8)*8)*K183
+ INDEX(D:D, 14 + INT((ROW()-14)/8)*8)</f>
        <v>-2.8433989290867614</v>
      </c>
      <c r="N183" s="1">
        <f t="shared" ref="N183:N185" si="441">1/(1+EXP(-L183))</f>
        <v>3.9401338158993986E-2</v>
      </c>
      <c r="O183" s="1">
        <f t="shared" ref="O183:O185" si="442">1/(1+EXP(-M183))</f>
        <v>5.5023539707637903E-2</v>
      </c>
      <c r="P183" s="1" cm="1">
        <f t="array" ref="P183">INDEX(H:H, 14 + INT((ROW()-14)/8)*8)*N183
+ INDEX(I:I, 14 + INT((ROW()-14)/8)*8)*O183
+ INDEX(G:G, 14 + INT((ROW()-14)/8)*8)</f>
        <v>1.6260687329151504</v>
      </c>
      <c r="Q183" s="1">
        <f t="shared" ref="Q183:Q185" si="443">1/(1+EXP(-P183))</f>
        <v>0.8356303826293815</v>
      </c>
      <c r="R183" s="8">
        <f>($C$5-Q183)^2</f>
        <v>2.7017371114563531E-2</v>
      </c>
      <c r="S183" s="1">
        <f>2*(Q183-$C$5)</f>
        <v>-0.32873923474123701</v>
      </c>
      <c r="T183" s="1">
        <f t="shared" ref="T183:T185" si="444">Q183*(1-Q183)</f>
        <v>0.13735224625605497</v>
      </c>
      <c r="U183" s="1">
        <v>1</v>
      </c>
      <c r="V183" s="1">
        <f t="shared" ref="V183:V185" si="445">N183</f>
        <v>3.9401338158993986E-2</v>
      </c>
      <c r="W183" s="8">
        <f t="shared" ref="W183:W185" si="446">O183</f>
        <v>5.5023539707637903E-2</v>
      </c>
      <c r="X183" s="1">
        <f t="shared" ref="X183:X185" si="447">S183*T183*U183</f>
        <v>-4.5153072324205443E-2</v>
      </c>
      <c r="Y183" s="1">
        <f t="shared" ref="Y183:Y185" si="448">S183*T183*V183</f>
        <v>-1.7790914715635311E-3</v>
      </c>
      <c r="Z183" s="8">
        <f t="shared" ref="Z183:Z185" si="449">S183*T183*W183</f>
        <v>-2.4844818679527641E-3</v>
      </c>
      <c r="AA183" s="1">
        <f>2*(Q183-$C$5)</f>
        <v>-0.32873923474123701</v>
      </c>
      <c r="AB183" s="1" cm="1">
        <f t="array" ref="AB183">INDEX(H:H, 14 + INT((ROW()-14)/8)*8)</f>
        <v>-4.6340244694979731</v>
      </c>
      <c r="AC183" s="1" cm="1">
        <f t="array" ref="AC183">INDEX(I:I, 14 + INT((ROW()-14)/8)*8)</f>
        <v>-3.7351601711658176</v>
      </c>
      <c r="AD183" s="1">
        <f t="shared" ref="AD183:AD185" si="450">N183*(1-N183)</f>
        <v>3.7848872710274595E-2</v>
      </c>
      <c r="AE183" s="1">
        <f t="shared" ref="AE183:AE185" si="451" xml:space="preserve"> O183*(1-O183)</f>
        <v>5.1995949785679896E-2</v>
      </c>
      <c r="AF183" s="1">
        <v>1</v>
      </c>
      <c r="AG183" s="1">
        <f t="shared" ref="AG183:AG185" si="452">J183</f>
        <v>0</v>
      </c>
      <c r="AH183" s="1">
        <f t="shared" ref="AH183:AH185" si="453">K183</f>
        <v>1</v>
      </c>
      <c r="AI183" s="1"/>
      <c r="AJ183" s="1"/>
      <c r="AK183" s="1">
        <v>1</v>
      </c>
      <c r="AL183" s="1">
        <f t="shared" ref="AL183:AL185" si="454">J183</f>
        <v>0</v>
      </c>
      <c r="AM183" s="8">
        <f t="shared" ref="AM183:AM185" si="455">K183</f>
        <v>1</v>
      </c>
      <c r="AN183" s="1">
        <f t="shared" ref="AN183:AN185" si="456">S183*T183*AB183*AD183*AF183</f>
        <v>7.9195148559844906E-3</v>
      </c>
      <c r="AO183" s="1">
        <f t="shared" ref="AO183:AO185" si="457">S183*T183*AB183*AD183*AG183</f>
        <v>0</v>
      </c>
      <c r="AP183" s="1">
        <f t="shared" ref="AP183:AP185" si="458">S183*T183*AB183*AD183*AH183</f>
        <v>7.9195148559844906E-3</v>
      </c>
      <c r="AQ183" s="1">
        <f t="shared" ref="AQ183:AQ185" si="459">S183*T183*AC183*AE183*AK183</f>
        <v>8.7693226975861654E-3</v>
      </c>
      <c r="AR183" s="1">
        <f t="shared" ref="AR183:AR185" si="460">S183*T183*AC183*AE183*AL183</f>
        <v>0</v>
      </c>
      <c r="AS183" s="8">
        <f t="shared" ref="AS183:AS185" si="461">S183*T183*AC183*AE183*AM183</f>
        <v>8.7693226975861654E-3</v>
      </c>
      <c r="AT183" s="1"/>
    </row>
    <row r="184" spans="1:4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3">
        <v>1</v>
      </c>
      <c r="K184" s="3">
        <v>0</v>
      </c>
      <c r="L184" s="1" cm="1">
        <f t="array" ref="L184">INDEX(B:B, 14 + INT((ROW()-14)/8)*8)*J184
+ INDEX(C:C, 14 + INT((ROW()-14)/8)*8)*K184
+ INDEX(A:A, 14 + INT((ROW()-14)/8)*8)</f>
        <v>-1.6282508524514672</v>
      </c>
      <c r="M184" s="1" cm="1">
        <f t="array" ref="M184">INDEX(E:E, 14 + INT((ROW()-14)/8)*8)*J184
+ INDEX(F:F, 14 + INT((ROW()-14)/8)*8)*K184
+ INDEX(D:D, 14 + INT((ROW()-14)/8)*8)</f>
        <v>-3.0207739014999784</v>
      </c>
      <c r="N184" s="1">
        <f t="shared" si="441"/>
        <v>0.16407011781871217</v>
      </c>
      <c r="O184" s="1">
        <f t="shared" si="442"/>
        <v>4.6496152120124028E-2</v>
      </c>
      <c r="P184" s="1" cm="1">
        <f t="array" ref="P184">INDEX(H:H, 14 + INT((ROW()-14)/8)*8)*N184
+ INDEX(I:I, 14 + INT((ROW()-14)/8)*8)*O184
+ INDEX(G:G, 14 + INT((ROW()-14)/8)*8)</f>
        <v>1.0802017158705408</v>
      </c>
      <c r="Q184" s="1">
        <f t="shared" si="443"/>
        <v>0.74653215429541164</v>
      </c>
      <c r="R184" s="8">
        <f>($C$6-Q184)^2</f>
        <v>6.4245948806125011E-2</v>
      </c>
      <c r="S184" s="1">
        <f>2*(Q184-$C$6)</f>
        <v>-0.50693569140917671</v>
      </c>
      <c r="T184" s="1">
        <f t="shared" si="444"/>
        <v>0.18922189689846336</v>
      </c>
      <c r="U184" s="1">
        <v>1</v>
      </c>
      <c r="V184" s="1">
        <f t="shared" si="445"/>
        <v>0.16407011781871217</v>
      </c>
      <c r="W184" s="8">
        <f t="shared" si="446"/>
        <v>4.6496152120124028E-2</v>
      </c>
      <c r="X184" s="1">
        <f t="shared" si="447"/>
        <v>-9.5923333133978481E-2</v>
      </c>
      <c r="Y184" s="1">
        <f t="shared" si="448"/>
        <v>-1.5738152568855426E-2</v>
      </c>
      <c r="Z184" s="8">
        <f t="shared" si="449"/>
        <v>-4.4600658892667965E-3</v>
      </c>
      <c r="AA184" s="1">
        <f>2*(Q184-$C$6)</f>
        <v>-0.50693569140917671</v>
      </c>
      <c r="AB184" s="1" cm="1">
        <f t="array" ref="AB184">INDEX(H:H, 14 + INT((ROW()-14)/8)*8)</f>
        <v>-4.6340244694979731</v>
      </c>
      <c r="AC184" s="1" cm="1">
        <f t="array" ref="AC184">INDEX(I:I, 14 + INT((ROW()-14)/8)*8)</f>
        <v>-3.7351601711658176</v>
      </c>
      <c r="AD184" s="1">
        <f t="shared" si="450"/>
        <v>0.13715111425766607</v>
      </c>
      <c r="AE184" s="1">
        <f t="shared" si="451"/>
        <v>4.4334259958146313E-2</v>
      </c>
      <c r="AF184" s="1">
        <v>1</v>
      </c>
      <c r="AG184" s="1">
        <f t="shared" si="452"/>
        <v>1</v>
      </c>
      <c r="AH184" s="1">
        <f t="shared" si="453"/>
        <v>0</v>
      </c>
      <c r="AI184" s="1"/>
      <c r="AJ184" s="1"/>
      <c r="AK184" s="1">
        <v>1</v>
      </c>
      <c r="AL184" s="1">
        <f t="shared" si="454"/>
        <v>1</v>
      </c>
      <c r="AM184" s="8">
        <f t="shared" si="455"/>
        <v>0</v>
      </c>
      <c r="AN184" s="1">
        <f t="shared" si="456"/>
        <v>6.0965188953408168E-2</v>
      </c>
      <c r="AO184" s="1">
        <f t="shared" si="457"/>
        <v>6.0965188953408168E-2</v>
      </c>
      <c r="AP184" s="1">
        <f t="shared" si="458"/>
        <v>0</v>
      </c>
      <c r="AQ184" s="1">
        <f t="shared" si="459"/>
        <v>1.5884478260556174E-2</v>
      </c>
      <c r="AR184" s="1">
        <f t="shared" si="460"/>
        <v>1.5884478260556174E-2</v>
      </c>
      <c r="AS184" s="8">
        <f t="shared" si="461"/>
        <v>0</v>
      </c>
      <c r="AT184" s="1"/>
    </row>
    <row r="185" spans="1:4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3">
        <v>1</v>
      </c>
      <c r="K185" s="3">
        <v>1</v>
      </c>
      <c r="L185" s="1" cm="1">
        <f t="array" ref="L185">INDEX(B:B, 14 + INT((ROW()-14)/8)*8)*J185
+ INDEX(C:C, 14 + INT((ROW()-14)/8)*8)*K185
+ INDEX(A:A, 14 + INT((ROW()-14)/8)*8)</f>
        <v>1.0493265780310317</v>
      </c>
      <c r="M185" s="1" cm="1">
        <f t="array" ref="M185">INDEX(E:E, 14 + INT((ROW()-14)/8)*8)*J185
+ INDEX(F:F, 14 + INT((ROW()-14)/8)*8)*K185
+ INDEX(D:D, 14 + INT((ROW()-14)/8)*8)</f>
        <v>-8.2977136762485468</v>
      </c>
      <c r="N185" s="1">
        <f t="shared" si="441"/>
        <v>0.74064556271394821</v>
      </c>
      <c r="O185" s="1">
        <f t="shared" si="442"/>
        <v>2.4902363884156712E-4</v>
      </c>
      <c r="P185" s="1" cm="1">
        <f t="array" ref="P185">INDEX(H:H, 14 + INT((ROW()-14)/8)*8)*N185
+ INDEX(I:I, 14 + INT((ROW()-14)/8)*8)*O185
+ INDEX(G:G, 14 + INT((ROW()-14)/8)*8)</f>
        <v>-1.418922571951589</v>
      </c>
      <c r="Q185" s="1">
        <f t="shared" si="443"/>
        <v>0.1948305458871929</v>
      </c>
      <c r="R185" s="8">
        <f>($C$7-Q185)^2</f>
        <v>3.7958941610701576E-2</v>
      </c>
      <c r="S185" s="1">
        <f>2*(Q185-$C$7)</f>
        <v>0.38966109177438579</v>
      </c>
      <c r="T185" s="1">
        <f t="shared" si="444"/>
        <v>0.15687160427649133</v>
      </c>
      <c r="U185" s="1">
        <v>1</v>
      </c>
      <c r="V185" s="1">
        <f t="shared" si="445"/>
        <v>0.74064556271394821</v>
      </c>
      <c r="W185" s="8">
        <f t="shared" si="446"/>
        <v>2.4902363884156712E-4</v>
      </c>
      <c r="X185" s="1">
        <f t="shared" si="447"/>
        <v>6.112676059077702E-2</v>
      </c>
      <c r="Y185" s="1">
        <f t="shared" si="448"/>
        <v>4.5273263994636839E-2</v>
      </c>
      <c r="Z185" s="8">
        <f t="shared" si="449"/>
        <v>1.5222008352912594E-5</v>
      </c>
      <c r="AA185" s="1">
        <f>2*(Q185-$C$7)</f>
        <v>0.38966109177438579</v>
      </c>
      <c r="AB185" s="1" cm="1">
        <f t="array" ref="AB185">INDEX(H:H, 14 + INT((ROW()-14)/8)*8)</f>
        <v>-4.6340244694979731</v>
      </c>
      <c r="AC185" s="1" cm="1">
        <f t="array" ref="AC185">INDEX(I:I, 14 + INT((ROW()-14)/8)*8)</f>
        <v>-3.7351601711658176</v>
      </c>
      <c r="AD185" s="1">
        <f t="shared" si="450"/>
        <v>0.19208971314608722</v>
      </c>
      <c r="AE185" s="1">
        <f t="shared" si="451"/>
        <v>2.4896162606886522E-4</v>
      </c>
      <c r="AF185" s="1">
        <v>1</v>
      </c>
      <c r="AG185" s="1">
        <f t="shared" si="452"/>
        <v>1</v>
      </c>
      <c r="AH185" s="1">
        <f t="shared" si="453"/>
        <v>1</v>
      </c>
      <c r="AI185" s="1"/>
      <c r="AJ185" s="1"/>
      <c r="AK185" s="1">
        <v>1</v>
      </c>
      <c r="AL185" s="1">
        <f t="shared" si="454"/>
        <v>1</v>
      </c>
      <c r="AM185" s="8">
        <f t="shared" si="455"/>
        <v>1</v>
      </c>
      <c r="AN185" s="1">
        <f t="shared" si="456"/>
        <v>-5.4411890035526815E-2</v>
      </c>
      <c r="AO185" s="1">
        <f t="shared" si="457"/>
        <v>-5.4411890035526815E-2</v>
      </c>
      <c r="AP185" s="1">
        <f t="shared" si="458"/>
        <v>-5.4411890035526815E-2</v>
      </c>
      <c r="AQ185" s="1">
        <f t="shared" si="459"/>
        <v>-5.6842480677735512E-5</v>
      </c>
      <c r="AR185" s="1">
        <f t="shared" si="460"/>
        <v>-5.6842480677735512E-5</v>
      </c>
      <c r="AS185" s="8">
        <f t="shared" si="461"/>
        <v>-5.6842480677735512E-5</v>
      </c>
      <c r="AT185" s="1"/>
    </row>
    <row r="186" spans="1:4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6">
        <f>SUM(R182:R185)</f>
        <v>0.16634316722882231</v>
      </c>
      <c r="S186" s="1"/>
      <c r="T186" s="1"/>
      <c r="U186" s="1"/>
      <c r="V186" s="1"/>
      <c r="W186" s="1"/>
      <c r="X186" s="1">
        <f>AVERAGE(X182:X185)</f>
        <v>-5.0029611675475576E-3</v>
      </c>
      <c r="Y186" s="1">
        <f>AVERAGE(Y182:Y185)</f>
        <v>6.9811290365358021E-3</v>
      </c>
      <c r="Z186" s="1">
        <f>AVERAGE(Z182:Z185)</f>
        <v>1.2043614662428561E-2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>
        <f>AVERAGE(AN182:AN185)</f>
        <v>3.4235483283830605E-3</v>
      </c>
      <c r="AO186" s="1">
        <f>AVERAGE(AO182:AO185)</f>
        <v>1.6383247294703383E-3</v>
      </c>
      <c r="AP186" s="1">
        <f xml:space="preserve"> AVERAGE(AP182:AP185)</f>
        <v>-1.1623093794885582E-2</v>
      </c>
      <c r="AQ186" s="1">
        <f>AVERAGE(AQ182:AQ185)</f>
        <v>1.9993367627054066E-3</v>
      </c>
      <c r="AR186" s="1">
        <f>AVERAGE(AR182:AR185)</f>
        <v>3.9569089449696098E-3</v>
      </c>
      <c r="AS186" s="1">
        <f>AVERAGE(AS182:AS185)</f>
        <v>2.1781200542271076E-3</v>
      </c>
      <c r="AT186" s="1"/>
    </row>
    <row r="187" spans="1:4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6" ht="15" thickBot="1" x14ac:dyDescent="0.35">
      <c r="A188" s="1" t="s">
        <v>38</v>
      </c>
      <c r="B188" s="1">
        <v>22</v>
      </c>
      <c r="C188" s="1"/>
      <c r="D188" s="1"/>
      <c r="E188" s="1"/>
      <c r="F188" s="1"/>
      <c r="G188" s="1"/>
      <c r="H188" s="1"/>
      <c r="I188" s="1"/>
      <c r="J188" s="30" t="s">
        <v>7</v>
      </c>
      <c r="K188" s="31"/>
      <c r="L188" s="30" t="s">
        <v>8</v>
      </c>
      <c r="M188" s="31"/>
      <c r="N188" s="30" t="s">
        <v>9</v>
      </c>
      <c r="O188" s="31"/>
      <c r="P188" s="1"/>
      <c r="Q188" s="9" t="s">
        <v>10</v>
      </c>
      <c r="R188" s="10" t="s">
        <v>11</v>
      </c>
      <c r="S188" s="1"/>
      <c r="T188" s="11"/>
      <c r="U188" s="23" t="s">
        <v>13</v>
      </c>
      <c r="V188" s="24"/>
      <c r="W188" s="26"/>
      <c r="X188" s="32" t="s">
        <v>12</v>
      </c>
      <c r="Y188" s="33"/>
      <c r="Z188" s="34"/>
      <c r="AA188" s="35"/>
      <c r="AB188" s="25"/>
      <c r="AC188" s="21"/>
      <c r="AD188" s="22"/>
      <c r="AE188" s="11"/>
      <c r="AF188" s="11"/>
      <c r="AG188" s="23" t="s">
        <v>44</v>
      </c>
      <c r="AH188" s="24"/>
      <c r="AI188" s="25"/>
      <c r="AJ188" s="17"/>
      <c r="AK188" s="17"/>
      <c r="AL188" s="23" t="s">
        <v>45</v>
      </c>
      <c r="AM188" s="24"/>
      <c r="AN188" s="26"/>
      <c r="AO188" s="27" t="s">
        <v>12</v>
      </c>
      <c r="AP188" s="28"/>
      <c r="AQ188" s="28"/>
      <c r="AR188" s="28"/>
      <c r="AS188" s="28"/>
      <c r="AT188" s="29"/>
    </row>
    <row r="189" spans="1:46" ht="15" thickBot="1" x14ac:dyDescent="0.35">
      <c r="A189" s="12" t="s">
        <v>14</v>
      </c>
      <c r="B189" s="12" t="s">
        <v>15</v>
      </c>
      <c r="C189" s="12" t="s">
        <v>16</v>
      </c>
      <c r="D189" s="12" t="s">
        <v>17</v>
      </c>
      <c r="E189" s="12" t="s">
        <v>18</v>
      </c>
      <c r="F189" s="12" t="s">
        <v>19</v>
      </c>
      <c r="G189" s="12" t="s">
        <v>20</v>
      </c>
      <c r="H189" s="12" t="s">
        <v>21</v>
      </c>
      <c r="I189" s="12" t="s">
        <v>22</v>
      </c>
      <c r="J189" s="12" t="s">
        <v>23</v>
      </c>
      <c r="K189" s="12" t="s">
        <v>24</v>
      </c>
      <c r="L189" s="12" t="s">
        <v>39</v>
      </c>
      <c r="M189" s="12" t="s">
        <v>40</v>
      </c>
      <c r="N189" s="12" t="s">
        <v>41</v>
      </c>
      <c r="O189" s="12" t="s">
        <v>42</v>
      </c>
      <c r="P189" s="12" t="s">
        <v>25</v>
      </c>
      <c r="Q189" s="12" t="s">
        <v>26</v>
      </c>
      <c r="R189" s="13" t="s">
        <v>27</v>
      </c>
      <c r="S189" s="12" t="s">
        <v>43</v>
      </c>
      <c r="T189" s="12" t="s">
        <v>31</v>
      </c>
      <c r="U189" s="12" t="s">
        <v>28</v>
      </c>
      <c r="V189" s="12" t="s">
        <v>29</v>
      </c>
      <c r="W189" s="13" t="s">
        <v>30</v>
      </c>
      <c r="X189" s="12" t="s">
        <v>28</v>
      </c>
      <c r="Y189" s="12" t="s">
        <v>29</v>
      </c>
      <c r="Z189" s="13" t="s">
        <v>30</v>
      </c>
      <c r="AA189" s="12" t="s">
        <v>50</v>
      </c>
      <c r="AB189" s="12" t="s">
        <v>48</v>
      </c>
      <c r="AC189" s="12" t="s">
        <v>49</v>
      </c>
      <c r="AD189" s="12" t="s">
        <v>46</v>
      </c>
      <c r="AE189" s="12" t="s">
        <v>47</v>
      </c>
      <c r="AF189" s="12" t="s">
        <v>32</v>
      </c>
      <c r="AG189" s="12" t="s">
        <v>33</v>
      </c>
      <c r="AH189" s="12" t="s">
        <v>34</v>
      </c>
      <c r="AI189" s="12"/>
      <c r="AJ189" s="12"/>
      <c r="AK189" s="12" t="s">
        <v>35</v>
      </c>
      <c r="AL189" s="12" t="s">
        <v>36</v>
      </c>
      <c r="AM189" s="13" t="s">
        <v>37</v>
      </c>
      <c r="AN189" s="12" t="s">
        <v>32</v>
      </c>
      <c r="AO189" s="12" t="s">
        <v>33</v>
      </c>
      <c r="AP189" s="12" t="s">
        <v>34</v>
      </c>
      <c r="AQ189" s="12" t="s">
        <v>35</v>
      </c>
      <c r="AR189" s="12" t="s">
        <v>36</v>
      </c>
      <c r="AS189" s="13" t="s">
        <v>37</v>
      </c>
      <c r="AT189" s="1"/>
    </row>
    <row r="190" spans="1:46" ht="15" thickBot="1" x14ac:dyDescent="0.35">
      <c r="A190" s="3" cm="1">
        <f t="array" ref="A190">INDEX(A:A, 14 + INT((ROW()-18)/8)*8)
 - $C$9 *
 INDEX(AN:AN, 18 + INT((ROW()-18)/8)*8)</f>
        <v>-5.8884520891558152</v>
      </c>
      <c r="B190" s="3" cm="1">
        <f t="array" ref="B190">INDEX(B:B, 14 + INT((ROW()-18)/8)*8)
 - $C$9 *
 INDEX(AO:AO, 18 + INT((ROW()-18)/8)*8)</f>
        <v>4.2348918714150807</v>
      </c>
      <c r="C190" s="3" cm="1">
        <f t="array" ref="C190">INDEX(C:C, 14 + INT((ROW()-18)/8)*8)
 - $C$9 *
 INDEX(AP:AP, 18 + INT((ROW()-18)/8)*8)</f>
        <v>2.735692899456927</v>
      </c>
      <c r="D190" s="3" cm="1">
        <f t="array" ref="D190">INDEX(D:D, 14 + INT((ROW()-18)/8)*8)
 - $C$9 *
 INDEX(AQ:AQ, 18 + INT((ROW()-18)/8)*8)</f>
        <v>2.4235441618482803</v>
      </c>
      <c r="E190" s="3" cm="1">
        <f t="array" ref="E190">INDEX(E:E, 14 + INT((ROW()-18)/8)*8)
 - $C$9 *
 INDEX(AR:AR, 18 + INT((ROW()-18)/8)*8)</f>
        <v>-5.4740992918866338</v>
      </c>
      <c r="F190" s="3" cm="1">
        <f t="array" ref="F190">INDEX(F:F, 14 + INT((ROW()-18)/8)*8)
 - $C$9 *
 INDEX(AS:AS, 18 + INT((ROW()-18)/8)*8)</f>
        <v>-5.2878303750197047</v>
      </c>
      <c r="G190" s="3" cm="1">
        <f t="array" ref="G190">INDEX(G:G, 14 + INT((ROW()-18)/8)*8)
 - $C$9 *
 INDEX(X:X, 18 + INT((ROW()-18)/8)*8)</f>
        <v>2.0391920379051607</v>
      </c>
      <c r="H190" s="3" cm="1">
        <f t="array" ref="H190">INDEX(H:H, 14 + INT((ROW()-18)/8)*8)
 - $C$9 *
 INDEX(Y:Y, 18 + INT((ROW()-18)/8)*8)</f>
        <v>-4.6689301146806521</v>
      </c>
      <c r="I190" s="3" cm="1">
        <f t="array" ref="I190">INDEX(I:I, 14 + INT((ROW()-18)/8)*8)
 - $C$9 *
 INDEX(Z:Z, 18 + INT((ROW()-18)/8)*8)</f>
        <v>-3.7953782444779605</v>
      </c>
      <c r="J190" s="3">
        <v>0</v>
      </c>
      <c r="K190" s="3">
        <v>0</v>
      </c>
      <c r="L190" s="1" cm="1">
        <f t="array" ref="L190">INDEX(B:B, 14 + INT((ROW()-14)/8)*8)*J190
+ INDEX(C:C, 14 + INT((ROW()-14)/8)*8)*K190
+ INDEX(A:A, 14 + INT((ROW()-14)/8)*8)</f>
        <v>-5.8884520891558152</v>
      </c>
      <c r="M190" s="1" cm="1">
        <f t="array" ref="M190">INDEX(E:E, 14 + INT((ROW()-14)/8)*8)*J190
+ INDEX(F:F, 14 + INT((ROW()-14)/8)*8)*K190
+ INDEX(D:D, 14 + INT((ROW()-14)/8)*8)</f>
        <v>2.4235441618482803</v>
      </c>
      <c r="N190" s="1">
        <f>1/(1+EXP(-L190))</f>
        <v>2.7636043720653393E-3</v>
      </c>
      <c r="O190" s="1">
        <f>1/(1+EXP(-M190))</f>
        <v>0.91860513405973088</v>
      </c>
      <c r="P190" s="1" cm="1">
        <f t="array" ref="P190">INDEX(H:H, 14 + INT((ROW()-14)/8)*8)*N190
+ INDEX(I:I, 14 + INT((ROW()-14)/8)*8)*O190
+ INDEX(G:G, 14 + INT((ROW()-14)/8)*8)</f>
        <v>-1.460164978848701</v>
      </c>
      <c r="Q190" s="1">
        <f>1/(1+EXP(-P190))</f>
        <v>0.18844209342596407</v>
      </c>
      <c r="R190" s="8">
        <f>($C$4-Q190)^2</f>
        <v>3.5510422574759774E-2</v>
      </c>
      <c r="S190" s="1">
        <f>2*(Q190-$C$4)</f>
        <v>0.37688418685192815</v>
      </c>
      <c r="T190" s="1">
        <f>Q190*(1-Q190)</f>
        <v>0.15293167085120429</v>
      </c>
      <c r="U190" s="1">
        <v>1</v>
      </c>
      <c r="V190" s="1">
        <f>N190</f>
        <v>2.7636043720653393E-3</v>
      </c>
      <c r="W190" s="8">
        <f>O190</f>
        <v>0.91860513405973088</v>
      </c>
      <c r="X190" s="1">
        <f>S190*T190*U190</f>
        <v>5.7637528412662856E-2</v>
      </c>
      <c r="Y190" s="1">
        <f>S190*T190*V190</f>
        <v>1.5928732551627529E-4</v>
      </c>
      <c r="Z190" s="8">
        <f>S190*T190*W190</f>
        <v>5.2946129514385709E-2</v>
      </c>
      <c r="AA190" s="1">
        <f>2*(Q190-$C$4)</f>
        <v>0.37688418685192815</v>
      </c>
      <c r="AB190" s="1" cm="1">
        <f t="array" ref="AB190">INDEX(H:H, 14 + INT((ROW()-14)/8)*8)</f>
        <v>-4.6689301146806521</v>
      </c>
      <c r="AC190" s="1" cm="1">
        <f t="array" ref="AC190">INDEX(I:I, 14 + INT((ROW()-14)/8)*8)</f>
        <v>-3.7953782444779605</v>
      </c>
      <c r="AD190" s="1">
        <f>N190*(1-N190)</f>
        <v>2.7559668629400405E-3</v>
      </c>
      <c r="AE190" s="1">
        <f xml:space="preserve"> O190*(1-O190)</f>
        <v>7.4769741738834744E-2</v>
      </c>
      <c r="AF190" s="1">
        <v>1</v>
      </c>
      <c r="AG190" s="1">
        <f>J190</f>
        <v>0</v>
      </c>
      <c r="AH190" s="1">
        <f>K190</f>
        <v>0</v>
      </c>
      <c r="AI190" s="1"/>
      <c r="AJ190" s="1"/>
      <c r="AK190" s="1">
        <v>1</v>
      </c>
      <c r="AL190" s="1">
        <f>J190</f>
        <v>0</v>
      </c>
      <c r="AM190" s="8">
        <f>K190</f>
        <v>0</v>
      </c>
      <c r="AN190" s="1">
        <f>S190*T190*AB190*AD190*AF190</f>
        <v>-7.416460945742267E-4</v>
      </c>
      <c r="AO190" s="1">
        <f>S190*T190*AB190*AD190*AG190</f>
        <v>0</v>
      </c>
      <c r="AP190" s="1">
        <f>S190*T190*AB190*AD190*AH190</f>
        <v>0</v>
      </c>
      <c r="AQ190" s="1">
        <f>S190*T190*AC190*AE190*AK190</f>
        <v>-1.6356346178058253E-2</v>
      </c>
      <c r="AR190" s="1">
        <f>S190*T190*AC190*AE190*AL190</f>
        <v>0</v>
      </c>
      <c r="AS190" s="8">
        <f>S190*T190*AC190*AE190*AM190</f>
        <v>0</v>
      </c>
      <c r="AT190" s="1"/>
    </row>
    <row r="191" spans="1:4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3">
        <v>0</v>
      </c>
      <c r="K191" s="3">
        <v>1</v>
      </c>
      <c r="L191" s="1" cm="1">
        <f t="array" ref="L191">INDEX(B:B, 14 + INT((ROW()-14)/8)*8)*J191
+ INDEX(C:C, 14 + INT((ROW()-14)/8)*8)*K191
+ INDEX(A:A, 14 + INT((ROW()-14)/8)*8)</f>
        <v>-3.1527591896988882</v>
      </c>
      <c r="M191" s="1" cm="1">
        <f t="array" ref="M191">INDEX(E:E, 14 + INT((ROW()-14)/8)*8)*J191
+ INDEX(F:F, 14 + INT((ROW()-14)/8)*8)*K191
+ INDEX(D:D, 14 + INT((ROW()-14)/8)*8)</f>
        <v>-2.8642862131714244</v>
      </c>
      <c r="N191" s="1">
        <f t="shared" ref="N191:N193" si="462">1/(1+EXP(-L191))</f>
        <v>4.0982695999261763E-2</v>
      </c>
      <c r="O191" s="1">
        <f t="shared" ref="O191:O193" si="463">1/(1+EXP(-M191))</f>
        <v>5.3947525505413076E-2</v>
      </c>
      <c r="P191" s="1" cm="1">
        <f t="array" ref="P191">INDEX(H:H, 14 + INT((ROW()-14)/8)*8)*N191
+ INDEX(I:I, 14 + INT((ROW()-14)/8)*8)*O191
+ INDEX(G:G, 14 + INT((ROW()-14)/8)*8)</f>
        <v>1.6430954297267406</v>
      </c>
      <c r="Q191" s="1">
        <f t="shared" ref="Q191:Q193" si="464">1/(1+EXP(-P191))</f>
        <v>0.83795569310802598</v>
      </c>
      <c r="R191" s="8">
        <f>($C$5-Q191)^2</f>
        <v>2.625835739610026E-2</v>
      </c>
      <c r="S191" s="1">
        <f>2*(Q191-$C$5)</f>
        <v>-0.32408861378394804</v>
      </c>
      <c r="T191" s="1">
        <f t="shared" ref="T191:T193" si="465">Q191*(1-Q191)</f>
        <v>0.13578594949587378</v>
      </c>
      <c r="U191" s="1">
        <v>1</v>
      </c>
      <c r="V191" s="1">
        <f t="shared" ref="V191:V193" si="466">N191</f>
        <v>4.0982695999261763E-2</v>
      </c>
      <c r="W191" s="8">
        <f t="shared" ref="W191:W193" si="467">O191</f>
        <v>5.3947525505413076E-2</v>
      </c>
      <c r="X191" s="1">
        <f t="shared" ref="X191:X193" si="468">S191*T191*U191</f>
        <v>-4.4006680143454907E-2</v>
      </c>
      <c r="Y191" s="1">
        <f t="shared" ref="Y191:Y193" si="469">S191*T191*V191</f>
        <v>-1.8035123942559616E-3</v>
      </c>
      <c r="Z191" s="8">
        <f t="shared" ref="Z191:Z193" si="470">S191*T191*W191</f>
        <v>-2.3740514994475886E-3</v>
      </c>
      <c r="AA191" s="1">
        <f>2*(Q191-$C$5)</f>
        <v>-0.32408861378394804</v>
      </c>
      <c r="AB191" s="1" cm="1">
        <f t="array" ref="AB191">INDEX(H:H, 14 + INT((ROW()-14)/8)*8)</f>
        <v>-4.6689301146806521</v>
      </c>
      <c r="AC191" s="1" cm="1">
        <f t="array" ref="AC191">INDEX(I:I, 14 + INT((ROW()-14)/8)*8)</f>
        <v>-3.7953782444779605</v>
      </c>
      <c r="AD191" s="1">
        <f t="shared" ref="AD191:AD193" si="471">N191*(1-N191)</f>
        <v>3.9303114627893855E-2</v>
      </c>
      <c r="AE191" s="1">
        <f t="shared" ref="AE191:AE193" si="472" xml:space="preserve"> O191*(1-O191)</f>
        <v>5.1037189997255886E-2</v>
      </c>
      <c r="AF191" s="1">
        <v>1</v>
      </c>
      <c r="AG191" s="1">
        <f t="shared" ref="AG191:AG193" si="473">J191</f>
        <v>0</v>
      </c>
      <c r="AH191" s="1">
        <f t="shared" ref="AH191:AH193" si="474">K191</f>
        <v>1</v>
      </c>
      <c r="AI191" s="1"/>
      <c r="AJ191" s="1"/>
      <c r="AK191" s="1">
        <v>1</v>
      </c>
      <c r="AL191" s="1">
        <f t="shared" ref="AL191:AL193" si="475">J191</f>
        <v>0</v>
      </c>
      <c r="AM191" s="8">
        <f t="shared" ref="AM191:AM193" si="476">K191</f>
        <v>1</v>
      </c>
      <c r="AN191" s="1">
        <f t="shared" ref="AN191:AN193" si="477">S191*T191*AB191*AD191*AF191</f>
        <v>8.075379631098778E-3</v>
      </c>
      <c r="AO191" s="1">
        <f t="shared" ref="AO191:AO193" si="478">S191*T191*AB191*AD191*AG191</f>
        <v>0</v>
      </c>
      <c r="AP191" s="1">
        <f t="shared" ref="AP191:AP193" si="479">S191*T191*AB191*AD191*AH191</f>
        <v>8.075379631098778E-3</v>
      </c>
      <c r="AQ191" s="1">
        <f t="shared" ref="AQ191:AQ193" si="480">S191*T191*AC191*AE191*AK191</f>
        <v>8.5243333654254558E-3</v>
      </c>
      <c r="AR191" s="1">
        <f t="shared" ref="AR191:AR193" si="481">S191*T191*AC191*AE191*AL191</f>
        <v>0</v>
      </c>
      <c r="AS191" s="8">
        <f t="shared" ref="AS191:AS193" si="482">S191*T191*AC191*AE191*AM191</f>
        <v>8.5243333654254558E-3</v>
      </c>
      <c r="AT191" s="1"/>
    </row>
    <row r="192" spans="1:4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3">
        <v>1</v>
      </c>
      <c r="K192" s="3">
        <v>0</v>
      </c>
      <c r="L192" s="1" cm="1">
        <f t="array" ref="L192">INDEX(B:B, 14 + INT((ROW()-14)/8)*8)*J192
+ INDEX(C:C, 14 + INT((ROW()-14)/8)*8)*K192
+ INDEX(A:A, 14 + INT((ROW()-14)/8)*8)</f>
        <v>-1.6535602177407345</v>
      </c>
      <c r="M192" s="1" cm="1">
        <f t="array" ref="M192">INDEX(E:E, 14 + INT((ROW()-14)/8)*8)*J192
+ INDEX(F:F, 14 + INT((ROW()-14)/8)*8)*K192
+ INDEX(D:D, 14 + INT((ROW()-14)/8)*8)</f>
        <v>-3.0505551300383535</v>
      </c>
      <c r="N192" s="1">
        <f t="shared" si="462"/>
        <v>0.16062835633698419</v>
      </c>
      <c r="O192" s="1">
        <f t="shared" si="463"/>
        <v>4.5193512985191656E-2</v>
      </c>
      <c r="P192" s="1" cm="1">
        <f t="array" ref="P192">INDEX(H:H, 14 + INT((ROW()-14)/8)*8)*N192
+ INDEX(I:I, 14 + INT((ROW()-14)/8)*8)*O192
+ INDEX(G:G, 14 + INT((ROW()-14)/8)*8)</f>
        <v>1.1177029917562318</v>
      </c>
      <c r="Q192" s="1">
        <f t="shared" si="464"/>
        <v>0.7535623964719308</v>
      </c>
      <c r="R192" s="8">
        <f>($C$6-Q192)^2</f>
        <v>6.0731492432657824E-2</v>
      </c>
      <c r="S192" s="1">
        <f>2*(Q192-$C$6)</f>
        <v>-0.49287520705613841</v>
      </c>
      <c r="T192" s="1">
        <f t="shared" si="465"/>
        <v>0.18570611109541138</v>
      </c>
      <c r="U192" s="1">
        <v>1</v>
      </c>
      <c r="V192" s="1">
        <f t="shared" si="466"/>
        <v>0.16062835633698419</v>
      </c>
      <c r="W192" s="8">
        <f t="shared" si="467"/>
        <v>4.5193512985191656E-2</v>
      </c>
      <c r="X192" s="1">
        <f t="shared" si="468"/>
        <v>-9.1529937957741128E-2</v>
      </c>
      <c r="Y192" s="1">
        <f t="shared" si="469"/>
        <v>-1.4702303489778096E-2</v>
      </c>
      <c r="Z192" s="8">
        <f t="shared" si="470"/>
        <v>-4.1365594396269604E-3</v>
      </c>
      <c r="AA192" s="1">
        <f>2*(Q192-$C$6)</f>
        <v>-0.49287520705613841</v>
      </c>
      <c r="AB192" s="1" cm="1">
        <f t="array" ref="AB192">INDEX(H:H, 14 + INT((ROW()-14)/8)*8)</f>
        <v>-4.6689301146806521</v>
      </c>
      <c r="AC192" s="1" cm="1">
        <f t="array" ref="AC192">INDEX(I:I, 14 + INT((ROW()-14)/8)*8)</f>
        <v>-3.7953782444779605</v>
      </c>
      <c r="AD192" s="1">
        <f t="shared" si="471"/>
        <v>0.13482688747746302</v>
      </c>
      <c r="AE192" s="1">
        <f t="shared" si="472"/>
        <v>4.315105936924897E-2</v>
      </c>
      <c r="AF192" s="1">
        <v>1</v>
      </c>
      <c r="AG192" s="1">
        <f t="shared" si="473"/>
        <v>1</v>
      </c>
      <c r="AH192" s="1">
        <f t="shared" si="474"/>
        <v>0</v>
      </c>
      <c r="AI192" s="1"/>
      <c r="AJ192" s="1"/>
      <c r="AK192" s="1">
        <v>1</v>
      </c>
      <c r="AL192" s="1">
        <f t="shared" si="475"/>
        <v>1</v>
      </c>
      <c r="AM192" s="8">
        <f t="shared" si="476"/>
        <v>0</v>
      </c>
      <c r="AN192" s="1">
        <f t="shared" si="477"/>
        <v>5.7617850205936065E-2</v>
      </c>
      <c r="AO192" s="1">
        <f t="shared" si="478"/>
        <v>5.7617850205936065E-2</v>
      </c>
      <c r="AP192" s="1">
        <f t="shared" si="479"/>
        <v>0</v>
      </c>
      <c r="AQ192" s="1">
        <f t="shared" si="480"/>
        <v>1.4990278240807588E-2</v>
      </c>
      <c r="AR192" s="1">
        <f t="shared" si="481"/>
        <v>1.4990278240807588E-2</v>
      </c>
      <c r="AS192" s="8">
        <f t="shared" si="482"/>
        <v>0</v>
      </c>
      <c r="AT192" s="1"/>
    </row>
    <row r="193" spans="1:4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3">
        <v>1</v>
      </c>
      <c r="K193" s="3">
        <v>1</v>
      </c>
      <c r="L193" s="1" cm="1">
        <f t="array" ref="L193">INDEX(B:B, 14 + INT((ROW()-14)/8)*8)*J193
+ INDEX(C:C, 14 + INT((ROW()-14)/8)*8)*K193
+ INDEX(A:A, 14 + INT((ROW()-14)/8)*8)</f>
        <v>1.0821326817161925</v>
      </c>
      <c r="M193" s="1" cm="1">
        <f t="array" ref="M193">INDEX(E:E, 14 + INT((ROW()-14)/8)*8)*J193
+ INDEX(F:F, 14 + INT((ROW()-14)/8)*8)*K193
+ INDEX(D:D, 14 + INT((ROW()-14)/8)*8)</f>
        <v>-8.3383855050580582</v>
      </c>
      <c r="N193" s="1">
        <f t="shared" si="462"/>
        <v>0.74689736134704232</v>
      </c>
      <c r="O193" s="1">
        <f t="shared" si="463"/>
        <v>2.3910096809028037E-4</v>
      </c>
      <c r="P193" s="1" cm="1">
        <f t="array" ref="P193">INDEX(H:H, 14 + INT((ROW()-14)/8)*8)*N193
+ INDEX(I:I, 14 + INT((ROW()-14)/8)*8)*O193
+ INDEX(G:G, 14 + INT((ROW()-14)/8)*8)</f>
        <v>-1.4489270236760858</v>
      </c>
      <c r="Q193" s="1">
        <f t="shared" si="464"/>
        <v>0.19016675304216785</v>
      </c>
      <c r="R193" s="8">
        <f>($C$7-Q193)^2</f>
        <v>3.6163393962600855E-2</v>
      </c>
      <c r="S193" s="1">
        <f>2*(Q193-$C$7)</f>
        <v>0.38033350608433569</v>
      </c>
      <c r="T193" s="1">
        <f t="shared" si="465"/>
        <v>0.154003359079567</v>
      </c>
      <c r="U193" s="1">
        <v>1</v>
      </c>
      <c r="V193" s="1">
        <f t="shared" si="466"/>
        <v>0.74689736134704232</v>
      </c>
      <c r="W193" s="8">
        <f t="shared" si="467"/>
        <v>2.3910096809028037E-4</v>
      </c>
      <c r="X193" s="1">
        <f t="shared" si="468"/>
        <v>5.8572637507496632E-2</v>
      </c>
      <c r="Y193" s="1">
        <f t="shared" si="469"/>
        <v>4.3747748401486035E-2</v>
      </c>
      <c r="Z193" s="8">
        <f t="shared" si="470"/>
        <v>1.4004774331643512E-5</v>
      </c>
      <c r="AA193" s="1">
        <f>2*(Q193-$C$7)</f>
        <v>0.38033350608433569</v>
      </c>
      <c r="AB193" s="1" cm="1">
        <f t="array" ref="AB193">INDEX(H:H, 14 + INT((ROW()-14)/8)*8)</f>
        <v>-4.6689301146806521</v>
      </c>
      <c r="AC193" s="1" cm="1">
        <f t="array" ref="AC193">INDEX(I:I, 14 + INT((ROW()-14)/8)*8)</f>
        <v>-3.7953782444779605</v>
      </c>
      <c r="AD193" s="1">
        <f t="shared" si="471"/>
        <v>0.189041692959868</v>
      </c>
      <c r="AE193" s="1">
        <f t="shared" si="472"/>
        <v>2.3904379881733865E-4</v>
      </c>
      <c r="AF193" s="1">
        <v>1</v>
      </c>
      <c r="AG193" s="1">
        <f t="shared" si="473"/>
        <v>1</v>
      </c>
      <c r="AH193" s="1">
        <f t="shared" si="474"/>
        <v>1</v>
      </c>
      <c r="AI193" s="1"/>
      <c r="AJ193" s="1"/>
      <c r="AK193" s="1">
        <v>1</v>
      </c>
      <c r="AL193" s="1">
        <f t="shared" si="475"/>
        <v>1</v>
      </c>
      <c r="AM193" s="8">
        <f t="shared" si="476"/>
        <v>1</v>
      </c>
      <c r="AN193" s="1">
        <f t="shared" si="477"/>
        <v>-5.1697525006706983E-2</v>
      </c>
      <c r="AO193" s="1">
        <f t="shared" si="478"/>
        <v>-5.1697525006706983E-2</v>
      </c>
      <c r="AP193" s="1">
        <f t="shared" si="479"/>
        <v>-5.1697525006706983E-2</v>
      </c>
      <c r="AQ193" s="1">
        <f t="shared" si="480"/>
        <v>-5.3140706783963966E-5</v>
      </c>
      <c r="AR193" s="1">
        <f t="shared" si="481"/>
        <v>-5.3140706783963966E-5</v>
      </c>
      <c r="AS193" s="8">
        <f t="shared" si="482"/>
        <v>-5.3140706783963966E-5</v>
      </c>
      <c r="AT193" s="1"/>
    </row>
    <row r="194" spans="1:4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6">
        <f>SUM(R190:R193)</f>
        <v>0.1586636663661187</v>
      </c>
      <c r="S194" s="1"/>
      <c r="T194" s="1"/>
      <c r="U194" s="1"/>
      <c r="V194" s="1"/>
      <c r="W194" s="1"/>
      <c r="X194" s="1">
        <f>AVERAGE(X190:X193)</f>
        <v>-4.8316130452591369E-3</v>
      </c>
      <c r="Y194" s="1">
        <f>AVERAGE(Y190:Y193)</f>
        <v>6.8503049607420629E-3</v>
      </c>
      <c r="Z194" s="1">
        <f>AVERAGE(Z190:Z193)</f>
        <v>1.1612380837410702E-2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>
        <f>AVERAGE(AN190:AN193)</f>
        <v>3.3135146839384077E-3</v>
      </c>
      <c r="AO194" s="1">
        <f>AVERAGE(AO190:AO193)</f>
        <v>1.4800812998072704E-3</v>
      </c>
      <c r="AP194" s="1">
        <f xml:space="preserve"> AVERAGE(AP190:AP193)</f>
        <v>-1.0905536343902051E-2</v>
      </c>
      <c r="AQ194" s="1">
        <f>AVERAGE(AQ190:AQ193)</f>
        <v>1.7762811803477068E-3</v>
      </c>
      <c r="AR194" s="1">
        <f>AVERAGE(AR190:AR193)</f>
        <v>3.7342843835059059E-3</v>
      </c>
      <c r="AS194" s="1">
        <f>AVERAGE(AS190:AS193)</f>
        <v>2.1177981646603727E-3</v>
      </c>
      <c r="AT194" s="1"/>
    </row>
    <row r="195" spans="1:4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8"/>
      <c r="S195" s="1"/>
      <c r="T195" s="1"/>
      <c r="U195" s="1"/>
      <c r="V195" s="1"/>
      <c r="W195" s="8"/>
      <c r="X195" s="1"/>
      <c r="Y195" s="1"/>
      <c r="Z195" s="8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8"/>
      <c r="AM195" s="1"/>
      <c r="AN195" s="1"/>
      <c r="AO195" s="1"/>
      <c r="AP195" s="1"/>
      <c r="AQ195" s="1"/>
      <c r="AR195" s="8"/>
      <c r="AS195" s="1"/>
    </row>
    <row r="196" spans="1:46" ht="15" thickBot="1" x14ac:dyDescent="0.35">
      <c r="A196" s="1" t="s">
        <v>38</v>
      </c>
      <c r="B196" s="1">
        <v>23</v>
      </c>
      <c r="C196" s="1"/>
      <c r="D196" s="1"/>
      <c r="E196" s="1"/>
      <c r="F196" s="1"/>
      <c r="G196" s="1"/>
      <c r="H196" s="1"/>
      <c r="I196" s="1"/>
      <c r="J196" s="30" t="s">
        <v>7</v>
      </c>
      <c r="K196" s="31"/>
      <c r="L196" s="30" t="s">
        <v>8</v>
      </c>
      <c r="M196" s="31"/>
      <c r="N196" s="30" t="s">
        <v>9</v>
      </c>
      <c r="O196" s="31"/>
      <c r="P196" s="1"/>
      <c r="Q196" s="9" t="s">
        <v>10</v>
      </c>
      <c r="R196" s="10" t="s">
        <v>11</v>
      </c>
      <c r="S196" s="1"/>
      <c r="T196" s="11"/>
      <c r="U196" s="23" t="s">
        <v>13</v>
      </c>
      <c r="V196" s="24"/>
      <c r="W196" s="26"/>
      <c r="X196" s="32" t="s">
        <v>12</v>
      </c>
      <c r="Y196" s="33"/>
      <c r="Z196" s="34"/>
      <c r="AA196" s="35"/>
      <c r="AB196" s="25"/>
      <c r="AC196" s="21"/>
      <c r="AD196" s="22"/>
      <c r="AE196" s="11"/>
      <c r="AF196" s="11"/>
      <c r="AG196" s="23" t="s">
        <v>44</v>
      </c>
      <c r="AH196" s="24"/>
      <c r="AI196" s="25"/>
      <c r="AJ196" s="17"/>
      <c r="AK196" s="17"/>
      <c r="AL196" s="23" t="s">
        <v>45</v>
      </c>
      <c r="AM196" s="24"/>
      <c r="AN196" s="26"/>
      <c r="AO196" s="27" t="s">
        <v>12</v>
      </c>
      <c r="AP196" s="28"/>
      <c r="AQ196" s="28"/>
      <c r="AR196" s="28"/>
      <c r="AS196" s="28"/>
      <c r="AT196" s="29"/>
    </row>
    <row r="197" spans="1:46" ht="15" thickBot="1" x14ac:dyDescent="0.35">
      <c r="A197" s="12" t="s">
        <v>14</v>
      </c>
      <c r="B197" s="12" t="s">
        <v>15</v>
      </c>
      <c r="C197" s="12" t="s">
        <v>16</v>
      </c>
      <c r="D197" s="12" t="s">
        <v>17</v>
      </c>
      <c r="E197" s="12" t="s">
        <v>18</v>
      </c>
      <c r="F197" s="12" t="s">
        <v>19</v>
      </c>
      <c r="G197" s="12" t="s">
        <v>20</v>
      </c>
      <c r="H197" s="12" t="s">
        <v>21</v>
      </c>
      <c r="I197" s="12" t="s">
        <v>22</v>
      </c>
      <c r="J197" s="12" t="s">
        <v>23</v>
      </c>
      <c r="K197" s="12" t="s">
        <v>24</v>
      </c>
      <c r="L197" s="12" t="s">
        <v>39</v>
      </c>
      <c r="M197" s="12" t="s">
        <v>40</v>
      </c>
      <c r="N197" s="12" t="s">
        <v>41</v>
      </c>
      <c r="O197" s="12" t="s">
        <v>42</v>
      </c>
      <c r="P197" s="12" t="s">
        <v>25</v>
      </c>
      <c r="Q197" s="12" t="s">
        <v>26</v>
      </c>
      <c r="R197" s="13" t="s">
        <v>27</v>
      </c>
      <c r="S197" s="12" t="s">
        <v>43</v>
      </c>
      <c r="T197" s="12" t="s">
        <v>31</v>
      </c>
      <c r="U197" s="12" t="s">
        <v>28</v>
      </c>
      <c r="V197" s="12" t="s">
        <v>29</v>
      </c>
      <c r="W197" s="13" t="s">
        <v>30</v>
      </c>
      <c r="X197" s="12" t="s">
        <v>28</v>
      </c>
      <c r="Y197" s="12" t="s">
        <v>29</v>
      </c>
      <c r="Z197" s="13" t="s">
        <v>30</v>
      </c>
      <c r="AA197" s="12" t="s">
        <v>50</v>
      </c>
      <c r="AB197" s="12" t="s">
        <v>48</v>
      </c>
      <c r="AC197" s="12" t="s">
        <v>49</v>
      </c>
      <c r="AD197" s="12" t="s">
        <v>46</v>
      </c>
      <c r="AE197" s="12" t="s">
        <v>47</v>
      </c>
      <c r="AF197" s="12" t="s">
        <v>32</v>
      </c>
      <c r="AG197" s="12" t="s">
        <v>33</v>
      </c>
      <c r="AH197" s="12" t="s">
        <v>34</v>
      </c>
      <c r="AI197" s="12"/>
      <c r="AJ197" s="12"/>
      <c r="AK197" s="12" t="s">
        <v>35</v>
      </c>
      <c r="AL197" s="12" t="s">
        <v>36</v>
      </c>
      <c r="AM197" s="13" t="s">
        <v>37</v>
      </c>
      <c r="AN197" s="12" t="s">
        <v>32</v>
      </c>
      <c r="AO197" s="12" t="s">
        <v>33</v>
      </c>
      <c r="AP197" s="12" t="s">
        <v>34</v>
      </c>
      <c r="AQ197" s="12" t="s">
        <v>35</v>
      </c>
      <c r="AR197" s="12" t="s">
        <v>36</v>
      </c>
      <c r="AS197" s="13" t="s">
        <v>37</v>
      </c>
      <c r="AT197" s="1"/>
    </row>
    <row r="198" spans="1:46" ht="15" thickBot="1" x14ac:dyDescent="0.35">
      <c r="A198" s="3" cm="1">
        <f t="array" ref="A198">INDEX(A:A, 14 + INT((ROW()-18)/8)*8)
 - $C$9 *
 INDEX(AN:AN, 18 + INT((ROW()-18)/8)*8)</f>
        <v>-5.9050196625755076</v>
      </c>
      <c r="B198" s="3" cm="1">
        <f t="array" ref="B198">INDEX(B:B, 14 + INT((ROW()-18)/8)*8)
 - $C$9 *
 INDEX(AO:AO, 18 + INT((ROW()-18)/8)*8)</f>
        <v>4.227491464916044</v>
      </c>
      <c r="C198" s="3" cm="1">
        <f t="array" ref="C198">INDEX(C:C, 14 + INT((ROW()-18)/8)*8)
 - $C$9 *
 INDEX(AP:AP, 18 + INT((ROW()-18)/8)*8)</f>
        <v>2.7902205811764373</v>
      </c>
      <c r="D198" s="3" cm="1">
        <f t="array" ref="D198">INDEX(D:D, 14 + INT((ROW()-18)/8)*8)
 - $C$9 *
 INDEX(AQ:AQ, 18 + INT((ROW()-18)/8)*8)</f>
        <v>2.4146627559465417</v>
      </c>
      <c r="E198" s="3" cm="1">
        <f t="array" ref="E198">INDEX(E:E, 14 + INT((ROW()-18)/8)*8)
 - $C$9 *
 INDEX(AR:AR, 18 + INT((ROW()-18)/8)*8)</f>
        <v>-5.4927707138041635</v>
      </c>
      <c r="F198" s="3" cm="1">
        <f t="array" ref="F198">INDEX(F:F, 14 + INT((ROW()-18)/8)*8)
 - $C$9 *
 INDEX(AS:AS, 18 + INT((ROW()-18)/8)*8)</f>
        <v>-5.2984193658430065</v>
      </c>
      <c r="G198" s="3" cm="1">
        <f t="array" ref="G198">INDEX(G:G, 14 + INT((ROW()-18)/8)*8)
 - $C$9 *
 INDEX(X:X, 18 + INT((ROW()-18)/8)*8)</f>
        <v>2.0633501031314565</v>
      </c>
      <c r="H198" s="3" cm="1">
        <f t="array" ref="H198">INDEX(H:H, 14 + INT((ROW()-18)/8)*8)
 - $C$9 *
 INDEX(Y:Y, 18 + INT((ROW()-18)/8)*8)</f>
        <v>-4.7031816394843622</v>
      </c>
      <c r="I198" s="3" cm="1">
        <f t="array" ref="I198">INDEX(I:I, 14 + INT((ROW()-18)/8)*8)
 - $C$9 *
 INDEX(Z:Z, 18 + INT((ROW()-18)/8)*8)</f>
        <v>-3.8534401486650141</v>
      </c>
      <c r="J198" s="3">
        <v>0</v>
      </c>
      <c r="K198" s="3">
        <v>0</v>
      </c>
      <c r="L198" s="1" cm="1">
        <f t="array" ref="L198">INDEX(B:B, 14 + INT((ROW()-14)/8)*8)*J198
+ INDEX(C:C, 14 + INT((ROW()-14)/8)*8)*K198
+ INDEX(A:A, 14 + INT((ROW()-14)/8)*8)</f>
        <v>-5.9050196625755076</v>
      </c>
      <c r="M198" s="1" cm="1">
        <f t="array" ref="M198">INDEX(E:E, 14 + INT((ROW()-14)/8)*8)*J198
+ INDEX(F:F, 14 + INT((ROW()-14)/8)*8)*K198
+ INDEX(D:D, 14 + INT((ROW()-14)/8)*8)</f>
        <v>2.4146627559465417</v>
      </c>
      <c r="N198" s="1">
        <f>1/(1+EXP(-L198))</f>
        <v>2.7183187872359027E-3</v>
      </c>
      <c r="O198" s="1">
        <f>1/(1+EXP(-M198))</f>
        <v>0.91793859997365967</v>
      </c>
      <c r="P198" s="1" cm="1">
        <f t="array" ref="P198">INDEX(H:H, 14 + INT((ROW()-14)/8)*8)*N198
+ INDEX(I:I, 14 + INT((ROW()-14)/8)*8)*O198
+ INDEX(G:G, 14 + INT((ROW()-14)/8)*8)</f>
        <v>-1.4866560990267907</v>
      </c>
      <c r="Q198" s="1">
        <f>1/(1+EXP(-P198))</f>
        <v>0.18442415921904531</v>
      </c>
      <c r="R198" s="8">
        <f>($C$4-Q198)^2</f>
        <v>3.4012270503651777E-2</v>
      </c>
      <c r="S198" s="1">
        <f>2*(Q198-$C$4)</f>
        <v>0.36884831843809063</v>
      </c>
      <c r="T198" s="1">
        <f>Q198*(1-Q198)</f>
        <v>0.15041188871539354</v>
      </c>
      <c r="U198" s="1">
        <v>1</v>
      </c>
      <c r="V198" s="1">
        <f>N198</f>
        <v>2.7183187872359027E-3</v>
      </c>
      <c r="W198" s="8">
        <f>O198</f>
        <v>0.91793859997365967</v>
      </c>
      <c r="X198" s="1">
        <f>S198*T198*U198</f>
        <v>5.5479172225770125E-2</v>
      </c>
      <c r="Y198" s="1">
        <f>S198*T198*V198</f>
        <v>1.5081007616160721E-4</v>
      </c>
      <c r="Z198" s="8">
        <f>S198*T198*W198</f>
        <v>5.0926473680620976E-2</v>
      </c>
      <c r="AA198" s="1">
        <f>2*(Q198-$C$4)</f>
        <v>0.36884831843809063</v>
      </c>
      <c r="AB198" s="1" cm="1">
        <f t="array" ref="AB198">INDEX(H:H, 14 + INT((ROW()-14)/8)*8)</f>
        <v>-4.7031816394843622</v>
      </c>
      <c r="AC198" s="1" cm="1">
        <f t="array" ref="AC198">INDEX(I:I, 14 + INT((ROW()-14)/8)*8)</f>
        <v>-3.8534401486650141</v>
      </c>
      <c r="AD198" s="1">
        <f>N198*(1-N198)</f>
        <v>2.7109295302068627E-3</v>
      </c>
      <c r="AE198" s="1">
        <f xml:space="preserve"> O198*(1-O198)</f>
        <v>7.5327326652057283E-2</v>
      </c>
      <c r="AF198" s="1">
        <v>1</v>
      </c>
      <c r="AG198" s="1">
        <f>J198</f>
        <v>0</v>
      </c>
      <c r="AH198" s="1">
        <f>K198</f>
        <v>0</v>
      </c>
      <c r="AI198" s="1"/>
      <c r="AJ198" s="1"/>
      <c r="AK198" s="1">
        <v>1</v>
      </c>
      <c r="AL198" s="1">
        <f>J198</f>
        <v>0</v>
      </c>
      <c r="AM198" s="8">
        <f>K198</f>
        <v>0</v>
      </c>
      <c r="AN198" s="1">
        <f>S198*T198*AB198*AD198*AF198</f>
        <v>-7.0735911258216512E-4</v>
      </c>
      <c r="AO198" s="1">
        <f>S198*T198*AB198*AD198*AG198</f>
        <v>0</v>
      </c>
      <c r="AP198" s="1">
        <f>S198*T198*AB198*AD198*AH198</f>
        <v>0</v>
      </c>
      <c r="AQ198" s="1">
        <f>S198*T198*AC198*AE198*AK198</f>
        <v>-1.6103902972722E-2</v>
      </c>
      <c r="AR198" s="1">
        <f>S198*T198*AC198*AE198*AL198</f>
        <v>0</v>
      </c>
      <c r="AS198" s="8">
        <f>S198*T198*AC198*AE198*AM198</f>
        <v>0</v>
      </c>
      <c r="AT198" s="1"/>
    </row>
    <row r="199" spans="1:4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3">
        <v>0</v>
      </c>
      <c r="K199" s="3">
        <v>1</v>
      </c>
      <c r="L199" s="1" cm="1">
        <f t="array" ref="L199">INDEX(B:B, 14 + INT((ROW()-14)/8)*8)*J199
+ INDEX(C:C, 14 + INT((ROW()-14)/8)*8)*K199
+ INDEX(A:A, 14 + INT((ROW()-14)/8)*8)</f>
        <v>-3.1147990813990702</v>
      </c>
      <c r="M199" s="1" cm="1">
        <f t="array" ref="M199">INDEX(E:E, 14 + INT((ROW()-14)/8)*8)*J199
+ INDEX(F:F, 14 + INT((ROW()-14)/8)*8)*K199
+ INDEX(D:D, 14 + INT((ROW()-14)/8)*8)</f>
        <v>-2.8837566098964649</v>
      </c>
      <c r="N199" s="1">
        <f t="shared" ref="N199:N201" si="483">1/(1+EXP(-L199))</f>
        <v>4.2500918212077431E-2</v>
      </c>
      <c r="O199" s="1">
        <f t="shared" ref="O199:O201" si="484">1/(1+EXP(-M199))</f>
        <v>5.2962397943967426E-2</v>
      </c>
      <c r="P199" s="1" cm="1">
        <f t="array" ref="P199">INDEX(H:H, 14 + INT((ROW()-14)/8)*8)*N199
+ INDEX(I:I, 14 + INT((ROW()-14)/8)*8)*O199
+ INDEX(G:G, 14 + INT((ROW()-14)/8)*8)</f>
        <v>1.6593731343283298</v>
      </c>
      <c r="Q199" s="1">
        <f t="shared" ref="Q199:Q201" si="485">1/(1+EXP(-P199))</f>
        <v>0.84015383585008852</v>
      </c>
      <c r="R199" s="8">
        <f>($C$5-Q199)^2</f>
        <v>2.5550796193440448E-2</v>
      </c>
      <c r="S199" s="1">
        <f>2*(Q199-$C$5)</f>
        <v>-0.31969232829982297</v>
      </c>
      <c r="T199" s="1">
        <f t="shared" ref="T199:T201" si="486">Q199*(1-Q199)</f>
        <v>0.13429536795647104</v>
      </c>
      <c r="U199" s="1">
        <v>1</v>
      </c>
      <c r="V199" s="1">
        <f t="shared" ref="V199:V201" si="487">N199</f>
        <v>4.2500918212077431E-2</v>
      </c>
      <c r="W199" s="8">
        <f t="shared" ref="W199:W201" si="488">O199</f>
        <v>5.2962397943967426E-2</v>
      </c>
      <c r="X199" s="1">
        <f t="shared" ref="X199:X201" si="489">S199*T199*U199</f>
        <v>-4.2933198861885666E-2</v>
      </c>
      <c r="Y199" s="1">
        <f t="shared" ref="Y199:Y201" si="490">S199*T199*V199</f>
        <v>-1.8247003734118586E-3</v>
      </c>
      <c r="Z199" s="8">
        <f t="shared" ref="Z199:Z201" si="491">S199*T199*W199</f>
        <v>-2.2738451631306778E-3</v>
      </c>
      <c r="AA199" s="1">
        <f>2*(Q199-$C$5)</f>
        <v>-0.31969232829982297</v>
      </c>
      <c r="AB199" s="1" cm="1">
        <f t="array" ref="AB199">INDEX(H:H, 14 + INT((ROW()-14)/8)*8)</f>
        <v>-4.7031816394843622</v>
      </c>
      <c r="AC199" s="1" cm="1">
        <f t="array" ref="AC199">INDEX(I:I, 14 + INT((ROW()-14)/8)*8)</f>
        <v>-3.8534401486650141</v>
      </c>
      <c r="AD199" s="1">
        <f t="shared" ref="AD199:AD201" si="492">N199*(1-N199)</f>
        <v>4.0694590163207735E-2</v>
      </c>
      <c r="AE199" s="1">
        <f t="shared" ref="AE199:AE201" si="493" xml:space="preserve"> O199*(1-O199)</f>
        <v>5.015738234799226E-2</v>
      </c>
      <c r="AF199" s="1">
        <v>1</v>
      </c>
      <c r="AG199" s="1">
        <f t="shared" ref="AG199:AG201" si="494">J199</f>
        <v>0</v>
      </c>
      <c r="AH199" s="1">
        <f t="shared" ref="AH199:AH201" si="495">K199</f>
        <v>1</v>
      </c>
      <c r="AI199" s="1"/>
      <c r="AJ199" s="1"/>
      <c r="AK199" s="1">
        <v>1</v>
      </c>
      <c r="AL199" s="1">
        <f t="shared" ref="AL199:AL201" si="496">J199</f>
        <v>0</v>
      </c>
      <c r="AM199" s="8">
        <f t="shared" ref="AM199:AM201" si="497">K199</f>
        <v>1</v>
      </c>
      <c r="AN199" s="1">
        <f t="shared" ref="AN199:AN201" si="498">S199*T199*AB199*AD199*AF199</f>
        <v>8.2171587788030555E-3</v>
      </c>
      <c r="AO199" s="1">
        <f t="shared" ref="AO199:AO201" si="499">S199*T199*AB199*AD199*AG199</f>
        <v>0</v>
      </c>
      <c r="AP199" s="1">
        <f t="shared" ref="AP199:AP201" si="500">S199*T199*AB199*AD199*AH199</f>
        <v>8.2171587788030555E-3</v>
      </c>
      <c r="AQ199" s="1">
        <f t="shared" ref="AQ199:AQ201" si="501">S199*T199*AC199*AE199*AK199</f>
        <v>8.298063026514332E-3</v>
      </c>
      <c r="AR199" s="1">
        <f t="shared" ref="AR199:AR201" si="502">S199*T199*AC199*AE199*AL199</f>
        <v>0</v>
      </c>
      <c r="AS199" s="8">
        <f t="shared" ref="AS199:AS201" si="503">S199*T199*AC199*AE199*AM199</f>
        <v>8.298063026514332E-3</v>
      </c>
      <c r="AT199" s="1"/>
    </row>
    <row r="200" spans="1:4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3">
        <v>1</v>
      </c>
      <c r="K200" s="3">
        <v>0</v>
      </c>
      <c r="L200" s="1" cm="1">
        <f t="array" ref="L200">INDEX(B:B, 14 + INT((ROW()-14)/8)*8)*J200
+ INDEX(C:C, 14 + INT((ROW()-14)/8)*8)*K200
+ INDEX(A:A, 14 + INT((ROW()-14)/8)*8)</f>
        <v>-1.6775281976594636</v>
      </c>
      <c r="M200" s="1" cm="1">
        <f t="array" ref="M200">INDEX(E:E, 14 + INT((ROW()-14)/8)*8)*J200
+ INDEX(F:F, 14 + INT((ROW()-14)/8)*8)*K200
+ INDEX(D:D, 14 + INT((ROW()-14)/8)*8)</f>
        <v>-3.0781079578576218</v>
      </c>
      <c r="N200" s="1">
        <f t="shared" si="483"/>
        <v>0.15742305374851562</v>
      </c>
      <c r="O200" s="1">
        <f t="shared" si="484"/>
        <v>4.4019367019054637E-2</v>
      </c>
      <c r="P200" s="1" cm="1">
        <f t="array" ref="P200">INDEX(H:H, 14 + INT((ROW()-14)/8)*8)*N200
+ INDEX(I:I, 14 + INT((ROW()-14)/8)*8)*O200
+ INDEX(G:G, 14 + INT((ROW()-14)/8)*8)</f>
        <v>1.1533348909198322</v>
      </c>
      <c r="Q200" s="1">
        <f t="shared" si="485"/>
        <v>0.76011952112045178</v>
      </c>
      <c r="R200" s="8">
        <f>($C$6-Q200)^2</f>
        <v>5.7542644147481378E-2</v>
      </c>
      <c r="S200" s="1">
        <f>2*(Q200-$C$6)</f>
        <v>-0.47976095775909644</v>
      </c>
      <c r="T200" s="1">
        <f t="shared" si="486"/>
        <v>0.18233783473206683</v>
      </c>
      <c r="U200" s="1">
        <v>1</v>
      </c>
      <c r="V200" s="1">
        <f t="shared" si="487"/>
        <v>0.15742305374851562</v>
      </c>
      <c r="W200" s="8">
        <f t="shared" si="488"/>
        <v>4.4019367019054637E-2</v>
      </c>
      <c r="X200" s="1">
        <f t="shared" si="489"/>
        <v>-8.7478574226776226E-2</v>
      </c>
      <c r="Y200" s="1">
        <f t="shared" si="490"/>
        <v>-1.3771144292345307E-2</v>
      </c>
      <c r="Z200" s="8">
        <f t="shared" si="491"/>
        <v>-3.8507514651920762E-3</v>
      </c>
      <c r="AA200" s="1">
        <f>2*(Q200-$C$6)</f>
        <v>-0.47976095775909644</v>
      </c>
      <c r="AB200" s="1" cm="1">
        <f t="array" ref="AB200">INDEX(H:H, 14 + INT((ROW()-14)/8)*8)</f>
        <v>-4.7031816394843622</v>
      </c>
      <c r="AC200" s="1" cm="1">
        <f t="array" ref="AC200">INDEX(I:I, 14 + INT((ROW()-14)/8)*8)</f>
        <v>-3.8534401486650141</v>
      </c>
      <c r="AD200" s="1">
        <f t="shared" si="492"/>
        <v>0.13264103589700757</v>
      </c>
      <c r="AE200" s="1">
        <f t="shared" si="493"/>
        <v>4.20816623462964E-2</v>
      </c>
      <c r="AF200" s="1">
        <v>1</v>
      </c>
      <c r="AG200" s="1">
        <f t="shared" si="494"/>
        <v>1</v>
      </c>
      <c r="AH200" s="1">
        <f t="shared" si="495"/>
        <v>0</v>
      </c>
      <c r="AI200" s="1"/>
      <c r="AJ200" s="1"/>
      <c r="AK200" s="1">
        <v>1</v>
      </c>
      <c r="AL200" s="1">
        <f t="shared" si="496"/>
        <v>1</v>
      </c>
      <c r="AM200" s="8">
        <f t="shared" si="497"/>
        <v>0</v>
      </c>
      <c r="AN200" s="1">
        <f t="shared" si="498"/>
        <v>5.4572186264118729E-2</v>
      </c>
      <c r="AO200" s="1">
        <f t="shared" si="499"/>
        <v>5.4572186264118729E-2</v>
      </c>
      <c r="AP200" s="1">
        <f t="shared" si="500"/>
        <v>0</v>
      </c>
      <c r="AQ200" s="1">
        <f t="shared" si="501"/>
        <v>1.4185452745138291E-2</v>
      </c>
      <c r="AR200" s="1">
        <f t="shared" si="502"/>
        <v>1.4185452745138291E-2</v>
      </c>
      <c r="AS200" s="8">
        <f t="shared" si="503"/>
        <v>0</v>
      </c>
      <c r="AT200" s="1"/>
    </row>
    <row r="201" spans="1:4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3">
        <v>1</v>
      </c>
      <c r="K201" s="3">
        <v>1</v>
      </c>
      <c r="L201" s="1" cm="1">
        <f t="array" ref="L201">INDEX(B:B, 14 + INT((ROW()-14)/8)*8)*J201
+ INDEX(C:C, 14 + INT((ROW()-14)/8)*8)*K201
+ INDEX(A:A, 14 + INT((ROW()-14)/8)*8)</f>
        <v>1.1126923835169737</v>
      </c>
      <c r="M201" s="1" cm="1">
        <f t="array" ref="M201">INDEX(E:E, 14 + INT((ROW()-14)/8)*8)*J201
+ INDEX(F:F, 14 + INT((ROW()-14)/8)*8)*K201
+ INDEX(D:D, 14 + INT((ROW()-14)/8)*8)</f>
        <v>-8.3765273237006284</v>
      </c>
      <c r="N201" s="1">
        <f t="shared" si="483"/>
        <v>0.75263071414674276</v>
      </c>
      <c r="O201" s="1">
        <f t="shared" si="484"/>
        <v>2.3015501329637041E-4</v>
      </c>
      <c r="P201" s="1" cm="1">
        <f t="array" ref="P201">INDEX(H:H, 14 + INT((ROW()-14)/8)*8)*N201
+ INDEX(I:I, 14 + INT((ROW()-14)/8)*8)*O201
+ INDEX(G:G, 14 + INT((ROW()-14)/8)*8)</f>
        <v>-1.4772957415241601</v>
      </c>
      <c r="Q201" s="1">
        <f t="shared" si="485"/>
        <v>0.18583622907700556</v>
      </c>
      <c r="R201" s="8">
        <f>($C$7-Q201)^2</f>
        <v>3.4535104037561284E-2</v>
      </c>
      <c r="S201" s="1">
        <f>2*(Q201-$C$7)</f>
        <v>0.37167245815401112</v>
      </c>
      <c r="T201" s="1">
        <f t="shared" si="486"/>
        <v>0.15130112503944426</v>
      </c>
      <c r="U201" s="1">
        <v>1</v>
      </c>
      <c r="V201" s="1">
        <f t="shared" si="487"/>
        <v>0.75263071414674276</v>
      </c>
      <c r="W201" s="8">
        <f t="shared" si="488"/>
        <v>2.3015501329637041E-4</v>
      </c>
      <c r="X201" s="1">
        <f t="shared" si="489"/>
        <v>5.6234461064877651E-2</v>
      </c>
      <c r="Y201" s="1">
        <f t="shared" si="490"/>
        <v>4.232378259091607E-2</v>
      </c>
      <c r="Z201" s="8">
        <f t="shared" si="491"/>
        <v>1.2942643134101139E-5</v>
      </c>
      <c r="AA201" s="1">
        <f>2*(Q201-$C$7)</f>
        <v>0.37167245815401112</v>
      </c>
      <c r="AB201" s="1" cm="1">
        <f t="array" ref="AB201">INDEX(H:H, 14 + INT((ROW()-14)/8)*8)</f>
        <v>-4.7031816394843622</v>
      </c>
      <c r="AC201" s="1" cm="1">
        <f t="array" ref="AC201">INDEX(I:I, 14 + INT((ROW()-14)/8)*8)</f>
        <v>-3.8534401486650141</v>
      </c>
      <c r="AD201" s="1">
        <f t="shared" si="492"/>
        <v>0.18617772226970675</v>
      </c>
      <c r="AE201" s="1">
        <f t="shared" si="493"/>
        <v>2.3010204196622497E-4</v>
      </c>
      <c r="AF201" s="1">
        <v>1</v>
      </c>
      <c r="AG201" s="1">
        <f t="shared" si="494"/>
        <v>1</v>
      </c>
      <c r="AH201" s="1">
        <f t="shared" si="495"/>
        <v>1</v>
      </c>
      <c r="AI201" s="1"/>
      <c r="AJ201" s="1"/>
      <c r="AK201" s="1">
        <v>1</v>
      </c>
      <c r="AL201" s="1">
        <f t="shared" si="496"/>
        <v>1</v>
      </c>
      <c r="AM201" s="8">
        <f t="shared" si="497"/>
        <v>1</v>
      </c>
      <c r="AN201" s="1">
        <f t="shared" si="498"/>
        <v>-4.9240448713451658E-2</v>
      </c>
      <c r="AO201" s="1">
        <f t="shared" si="499"/>
        <v>-4.9240448713451658E-2</v>
      </c>
      <c r="AP201" s="1">
        <f t="shared" si="500"/>
        <v>-4.9240448713451658E-2</v>
      </c>
      <c r="AQ201" s="1">
        <f t="shared" si="501"/>
        <v>-4.9862222000545135E-5</v>
      </c>
      <c r="AR201" s="1">
        <f t="shared" si="502"/>
        <v>-4.9862222000545135E-5</v>
      </c>
      <c r="AS201" s="8">
        <f t="shared" si="503"/>
        <v>-4.9862222000545135E-5</v>
      </c>
      <c r="AT201" s="1"/>
    </row>
    <row r="202" spans="1:4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6">
        <f>SUM(R198:R201)</f>
        <v>0.15164081488213488</v>
      </c>
      <c r="S202" s="1"/>
      <c r="T202" s="1"/>
      <c r="U202" s="1"/>
      <c r="V202" s="1"/>
      <c r="W202" s="1"/>
      <c r="X202" s="1">
        <f>AVERAGE(X198:X201)</f>
        <v>-4.6745349495035306E-3</v>
      </c>
      <c r="Y202" s="1">
        <f>AVERAGE(Y198:Y201)</f>
        <v>6.7196870003301285E-3</v>
      </c>
      <c r="Z202" s="1">
        <f>AVERAGE(Z198:Z201)</f>
        <v>1.120370492385808E-2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>
        <f>AVERAGE(AN198:AN201)</f>
        <v>3.2103843042219898E-3</v>
      </c>
      <c r="AO202" s="1">
        <f>AVERAGE(AO198:AO201)</f>
        <v>1.3329343876667676E-3</v>
      </c>
      <c r="AP202" s="1">
        <f xml:space="preserve"> AVERAGE(AP198:AP201)</f>
        <v>-1.025582248366215E-2</v>
      </c>
      <c r="AQ202" s="1">
        <f>AVERAGE(AQ198:AQ201)</f>
        <v>1.5824376442325195E-3</v>
      </c>
      <c r="AR202" s="1">
        <f>AVERAGE(AR198:AR201)</f>
        <v>3.5338976307844362E-3</v>
      </c>
      <c r="AS202" s="1">
        <f>AVERAGE(AS198:AS201)</f>
        <v>2.0620502011284465E-3</v>
      </c>
      <c r="AT202" s="1"/>
    </row>
    <row r="203" spans="1:46" ht="15" thickBot="1" x14ac:dyDescent="0.35">
      <c r="A203" s="1"/>
      <c r="B203" s="39"/>
      <c r="C203" s="4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6" ht="15" thickBot="1" x14ac:dyDescent="0.35">
      <c r="A204" s="1" t="s">
        <v>38</v>
      </c>
      <c r="B204" s="1">
        <v>24</v>
      </c>
      <c r="C204" s="1"/>
      <c r="D204" s="1"/>
      <c r="E204" s="1"/>
      <c r="F204" s="1"/>
      <c r="G204" s="1"/>
      <c r="H204" s="1"/>
      <c r="I204" s="1"/>
      <c r="J204" s="30" t="s">
        <v>7</v>
      </c>
      <c r="K204" s="31"/>
      <c r="L204" s="30" t="s">
        <v>8</v>
      </c>
      <c r="M204" s="31"/>
      <c r="N204" s="30" t="s">
        <v>9</v>
      </c>
      <c r="O204" s="31"/>
      <c r="P204" s="1"/>
      <c r="Q204" s="9" t="s">
        <v>10</v>
      </c>
      <c r="R204" s="10" t="s">
        <v>11</v>
      </c>
      <c r="S204" s="1"/>
      <c r="T204" s="11"/>
      <c r="U204" s="23" t="s">
        <v>13</v>
      </c>
      <c r="V204" s="24"/>
      <c r="W204" s="26"/>
      <c r="X204" s="32" t="s">
        <v>12</v>
      </c>
      <c r="Y204" s="33"/>
      <c r="Z204" s="34"/>
      <c r="AA204" s="35"/>
      <c r="AB204" s="25"/>
      <c r="AC204" s="21"/>
      <c r="AD204" s="22"/>
      <c r="AE204" s="11"/>
      <c r="AF204" s="11"/>
      <c r="AG204" s="23" t="s">
        <v>44</v>
      </c>
      <c r="AH204" s="24"/>
      <c r="AI204" s="25"/>
      <c r="AJ204" s="17"/>
      <c r="AK204" s="17"/>
      <c r="AL204" s="23" t="s">
        <v>45</v>
      </c>
      <c r="AM204" s="24"/>
      <c r="AN204" s="26"/>
      <c r="AO204" s="27" t="s">
        <v>12</v>
      </c>
      <c r="AP204" s="28"/>
      <c r="AQ204" s="28"/>
      <c r="AR204" s="28"/>
      <c r="AS204" s="28"/>
      <c r="AT204" s="29"/>
    </row>
    <row r="205" spans="1:46" ht="15" thickBot="1" x14ac:dyDescent="0.35">
      <c r="A205" s="12" t="s">
        <v>14</v>
      </c>
      <c r="B205" s="12" t="s">
        <v>15</v>
      </c>
      <c r="C205" s="12" t="s">
        <v>16</v>
      </c>
      <c r="D205" s="12" t="s">
        <v>17</v>
      </c>
      <c r="E205" s="12" t="s">
        <v>18</v>
      </c>
      <c r="F205" s="12" t="s">
        <v>19</v>
      </c>
      <c r="G205" s="12" t="s">
        <v>20</v>
      </c>
      <c r="H205" s="12" t="s">
        <v>21</v>
      </c>
      <c r="I205" s="12" t="s">
        <v>22</v>
      </c>
      <c r="J205" s="12" t="s">
        <v>23</v>
      </c>
      <c r="K205" s="12" t="s">
        <v>24</v>
      </c>
      <c r="L205" s="12" t="s">
        <v>39</v>
      </c>
      <c r="M205" s="12" t="s">
        <v>40</v>
      </c>
      <c r="N205" s="12" t="s">
        <v>41</v>
      </c>
      <c r="O205" s="12" t="s">
        <v>42</v>
      </c>
      <c r="P205" s="12" t="s">
        <v>25</v>
      </c>
      <c r="Q205" s="12" t="s">
        <v>26</v>
      </c>
      <c r="R205" s="13" t="s">
        <v>27</v>
      </c>
      <c r="S205" s="12" t="s">
        <v>43</v>
      </c>
      <c r="T205" s="12" t="s">
        <v>31</v>
      </c>
      <c r="U205" s="12" t="s">
        <v>28</v>
      </c>
      <c r="V205" s="12" t="s">
        <v>29</v>
      </c>
      <c r="W205" s="13" t="s">
        <v>30</v>
      </c>
      <c r="X205" s="12" t="s">
        <v>28</v>
      </c>
      <c r="Y205" s="12" t="s">
        <v>29</v>
      </c>
      <c r="Z205" s="13" t="s">
        <v>30</v>
      </c>
      <c r="AA205" s="12" t="s">
        <v>50</v>
      </c>
      <c r="AB205" s="12" t="s">
        <v>48</v>
      </c>
      <c r="AC205" s="12" t="s">
        <v>49</v>
      </c>
      <c r="AD205" s="12" t="s">
        <v>46</v>
      </c>
      <c r="AE205" s="12" t="s">
        <v>47</v>
      </c>
      <c r="AF205" s="12" t="s">
        <v>32</v>
      </c>
      <c r="AG205" s="12" t="s">
        <v>33</v>
      </c>
      <c r="AH205" s="12" t="s">
        <v>34</v>
      </c>
      <c r="AI205" s="12"/>
      <c r="AJ205" s="12"/>
      <c r="AK205" s="12" t="s">
        <v>35</v>
      </c>
      <c r="AL205" s="12" t="s">
        <v>36</v>
      </c>
      <c r="AM205" s="13" t="s">
        <v>37</v>
      </c>
      <c r="AN205" s="12" t="s">
        <v>32</v>
      </c>
      <c r="AO205" s="12" t="s">
        <v>33</v>
      </c>
      <c r="AP205" s="12" t="s">
        <v>34</v>
      </c>
      <c r="AQ205" s="12" t="s">
        <v>35</v>
      </c>
      <c r="AR205" s="12" t="s">
        <v>36</v>
      </c>
      <c r="AS205" s="13" t="s">
        <v>37</v>
      </c>
      <c r="AT205" s="1"/>
    </row>
    <row r="206" spans="1:46" ht="15" thickBot="1" x14ac:dyDescent="0.35">
      <c r="A206" s="3" cm="1">
        <f t="array" ref="A206">INDEX(A:A, 14 + INT((ROW()-18)/8)*8)
 - $C$9 *
 INDEX(AN:AN, 18 + INT((ROW()-18)/8)*8)</f>
        <v>-5.9210715840966177</v>
      </c>
      <c r="B206" s="3" cm="1">
        <f t="array" ref="B206">INDEX(B:B, 14 + INT((ROW()-18)/8)*8)
 - $C$9 *
 INDEX(AO:AO, 18 + INT((ROW()-18)/8)*8)</f>
        <v>4.2208267929777099</v>
      </c>
      <c r="C206" s="3" cm="1">
        <f t="array" ref="C206">INDEX(C:C, 14 + INT((ROW()-18)/8)*8)
 - $C$9 *
 INDEX(AP:AP, 18 + INT((ROW()-18)/8)*8)</f>
        <v>2.8414996935947481</v>
      </c>
      <c r="D206" s="3" cm="1">
        <f t="array" ref="D206">INDEX(D:D, 14 + INT((ROW()-18)/8)*8)
 - $C$9 *
 INDEX(AQ:AQ, 18 + INT((ROW()-18)/8)*8)</f>
        <v>2.4067505677253789</v>
      </c>
      <c r="E206" s="3" cm="1">
        <f t="array" ref="E206">INDEX(E:E, 14 + INT((ROW()-18)/8)*8)
 - $C$9 *
 INDEX(AR:AR, 18 + INT((ROW()-18)/8)*8)</f>
        <v>-5.5104402019580858</v>
      </c>
      <c r="F206" s="3" cm="1">
        <f t="array" ref="F206">INDEX(F:F, 14 + INT((ROW()-18)/8)*8)
 - $C$9 *
 INDEX(AS:AS, 18 + INT((ROW()-18)/8)*8)</f>
        <v>-5.3087296168486491</v>
      </c>
      <c r="G206" s="3" cm="1">
        <f t="array" ref="G206">INDEX(G:G, 14 + INT((ROW()-18)/8)*8)
 - $C$9 *
 INDEX(X:X, 18 + INT((ROW()-18)/8)*8)</f>
        <v>2.0867227778789741</v>
      </c>
      <c r="H206" s="3" cm="1">
        <f t="array" ref="H206">INDEX(H:H, 14 + INT((ROW()-18)/8)*8)
 - $C$9 *
 INDEX(Y:Y, 18 + INT((ROW()-18)/8)*8)</f>
        <v>-4.7367800744860125</v>
      </c>
      <c r="I206" s="3" cm="1">
        <f t="array" ref="I206">INDEX(I:I, 14 + INT((ROW()-18)/8)*8)
 - $C$9 *
 INDEX(Z:Z, 18 + INT((ROW()-18)/8)*8)</f>
        <v>-3.9094586732843046</v>
      </c>
      <c r="J206" s="3">
        <v>0</v>
      </c>
      <c r="K206" s="3">
        <v>0</v>
      </c>
      <c r="L206" s="1" cm="1">
        <f t="array" ref="L206">INDEX(B:B, 14 + INT((ROW()-14)/8)*8)*J206
+ INDEX(C:C, 14 + INT((ROW()-14)/8)*8)*K206
+ INDEX(A:A, 14 + INT((ROW()-14)/8)*8)</f>
        <v>-5.9210715840966177</v>
      </c>
      <c r="M206" s="1" cm="1">
        <f t="array" ref="M206">INDEX(E:E, 14 + INT((ROW()-14)/8)*8)*J206
+ INDEX(F:F, 14 + INT((ROW()-14)/8)*8)*K206
+ INDEX(D:D, 14 + INT((ROW()-14)/8)*8)</f>
        <v>2.4067505677253789</v>
      </c>
      <c r="N206" s="1">
        <f>1/(1+EXP(-L206))</f>
        <v>2.6751486839730796E-3</v>
      </c>
      <c r="O206" s="1">
        <f>1/(1+EXP(-M206))</f>
        <v>0.91734062170674135</v>
      </c>
      <c r="P206" s="1" cm="1">
        <f t="array" ref="P206">INDEX(H:H, 14 + INT((ROW()-14)/8)*8)*N206
+ INDEX(I:I, 14 + INT((ROW()-14)/8)*8)*O206
+ INDEX(G:G, 14 + INT((ROW()-14)/8)*8)</f>
        <v>-1.5122540629909933</v>
      </c>
      <c r="Q206" s="1">
        <f>1/(1+EXP(-P206))</f>
        <v>0.1806049813514157</v>
      </c>
      <c r="R206" s="8">
        <f>($C$4-Q206)^2</f>
        <v>3.2618159288945216E-2</v>
      </c>
      <c r="S206" s="1">
        <f>2*(Q206-$C$4)</f>
        <v>0.3612099627028314</v>
      </c>
      <c r="T206" s="1">
        <f>Q206*(1-Q206)</f>
        <v>0.14798682206247049</v>
      </c>
      <c r="U206" s="1">
        <v>1</v>
      </c>
      <c r="V206" s="1">
        <f>N206</f>
        <v>2.6751486839730796E-3</v>
      </c>
      <c r="W206" s="8">
        <f>O206</f>
        <v>0.91734062170674135</v>
      </c>
      <c r="X206" s="1">
        <f>S206*T206*U206</f>
        <v>5.3454314477695511E-2</v>
      </c>
      <c r="Y206" s="1">
        <f>S206*T206*V206</f>
        <v>1.4299823902769028E-4</v>
      </c>
      <c r="Z206" s="8">
        <f>S206*T206*W206</f>
        <v>4.9035814075876864E-2</v>
      </c>
      <c r="AA206" s="1">
        <f>2*(Q206-$C$4)</f>
        <v>0.3612099627028314</v>
      </c>
      <c r="AB206" s="1" cm="1">
        <f t="array" ref="AB206">INDEX(H:H, 14 + INT((ROW()-14)/8)*8)</f>
        <v>-4.7367800744860125</v>
      </c>
      <c r="AC206" s="1" cm="1">
        <f t="array" ref="AC206">INDEX(I:I, 14 + INT((ROW()-14)/8)*8)</f>
        <v>-3.9094586732843046</v>
      </c>
      <c r="AD206" s="1">
        <f>N206*(1-N206)</f>
        <v>2.6679922634917164E-3</v>
      </c>
      <c r="AE206" s="1">
        <f xml:space="preserve"> O206*(1-O206)</f>
        <v>7.5826805473430611E-2</v>
      </c>
      <c r="AF206" s="1">
        <v>1</v>
      </c>
      <c r="AG206" s="1">
        <f>J206</f>
        <v>0</v>
      </c>
      <c r="AH206" s="1">
        <f>K206</f>
        <v>0</v>
      </c>
      <c r="AI206" s="1"/>
      <c r="AJ206" s="1"/>
      <c r="AK206" s="1">
        <v>1</v>
      </c>
      <c r="AL206" s="1">
        <f>J206</f>
        <v>0</v>
      </c>
      <c r="AM206" s="8">
        <f>K206</f>
        <v>0</v>
      </c>
      <c r="AN206" s="1">
        <f>S206*T206*AB206*AD206*AF206</f>
        <v>-6.7553919411677014E-4</v>
      </c>
      <c r="AO206" s="1">
        <f>S206*T206*AB206*AD206*AG206</f>
        <v>0</v>
      </c>
      <c r="AP206" s="1">
        <f>S206*T206*AB206*AD206*AH206</f>
        <v>0</v>
      </c>
      <c r="AQ206" s="1">
        <f>S206*T206*AC206*AE206*AK206</f>
        <v>-1.5846091187671957E-2</v>
      </c>
      <c r="AR206" s="1">
        <f>S206*T206*AC206*AE206*AL206</f>
        <v>0</v>
      </c>
      <c r="AS206" s="8">
        <f>S206*T206*AC206*AE206*AM206</f>
        <v>0</v>
      </c>
      <c r="AT206" s="1"/>
    </row>
    <row r="207" spans="1:4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3">
        <v>0</v>
      </c>
      <c r="K207" s="3">
        <v>1</v>
      </c>
      <c r="L207" s="1" cm="1">
        <f t="array" ref="L207">INDEX(B:B, 14 + INT((ROW()-14)/8)*8)*J207
+ INDEX(C:C, 14 + INT((ROW()-14)/8)*8)*K207
+ INDEX(A:A, 14 + INT((ROW()-14)/8)*8)</f>
        <v>-3.0795718905018696</v>
      </c>
      <c r="M207" s="1" cm="1">
        <f t="array" ref="M207">INDEX(E:E, 14 + INT((ROW()-14)/8)*8)*J207
+ INDEX(F:F, 14 + INT((ROW()-14)/8)*8)*K207
+ INDEX(D:D, 14 + INT((ROW()-14)/8)*8)</f>
        <v>-2.9019790491232702</v>
      </c>
      <c r="N207" s="1">
        <f t="shared" ref="N207:N209" si="504">1/(1+EXP(-L207))</f>
        <v>4.3957803406063103E-2</v>
      </c>
      <c r="O207" s="1">
        <f t="shared" ref="O207:O209" si="505">1/(1+EXP(-M207))</f>
        <v>5.2055818281256896E-2</v>
      </c>
      <c r="P207" s="1" cm="1">
        <f t="array" ref="P207">INDEX(H:H, 14 + INT((ROW()-14)/8)*8)*N207
+ INDEX(I:I, 14 + INT((ROW()-14)/8)*8)*O207
+ INDEX(G:G, 14 + INT((ROW()-14)/8)*8)</f>
        <v>1.6749942603123895</v>
      </c>
      <c r="Q207" s="1">
        <f t="shared" ref="Q207:Q209" si="506">1/(1+EXP(-P207))</f>
        <v>0.84224055034216705</v>
      </c>
      <c r="R207" s="8">
        <f>($C$5-Q207)^2</f>
        <v>2.488804395634233E-2</v>
      </c>
      <c r="S207" s="1">
        <f>2*(Q207-$C$5)</f>
        <v>-0.3155188993156659</v>
      </c>
      <c r="T207" s="1">
        <f t="shared" ref="T207:T209" si="507">Q207*(1-Q207)</f>
        <v>0.13287140570149061</v>
      </c>
      <c r="U207" s="1">
        <v>1</v>
      </c>
      <c r="V207" s="1">
        <f t="shared" ref="V207:V209" si="508">N207</f>
        <v>4.3957803406063103E-2</v>
      </c>
      <c r="W207" s="8">
        <f t="shared" ref="W207:W209" si="509">O207</f>
        <v>5.2055818281256896E-2</v>
      </c>
      <c r="X207" s="1">
        <f t="shared" ref="X207:X209" si="510">S207*T207*U207</f>
        <v>-4.1923439677459616E-2</v>
      </c>
      <c r="Y207" s="1">
        <f t="shared" ref="Y207:Y209" si="511">S207*T207*V207</f>
        <v>-1.8428623194477153E-3</v>
      </c>
      <c r="Z207" s="8">
        <f t="shared" ref="Z207:Z209" si="512">S207*T207*W207</f>
        <v>-2.1823589575750732E-3</v>
      </c>
      <c r="AA207" s="1">
        <f>2*(Q207-$C$5)</f>
        <v>-0.3155188993156659</v>
      </c>
      <c r="AB207" s="1" cm="1">
        <f t="array" ref="AB207">INDEX(H:H, 14 + INT((ROW()-14)/8)*8)</f>
        <v>-4.7367800744860125</v>
      </c>
      <c r="AC207" s="1" cm="1">
        <f t="array" ref="AC207">INDEX(I:I, 14 + INT((ROW()-14)/8)*8)</f>
        <v>-3.9094586732843046</v>
      </c>
      <c r="AD207" s="1">
        <f t="shared" ref="AD207:AD209" si="513">N207*(1-N207)</f>
        <v>4.2025514925777011E-2</v>
      </c>
      <c r="AE207" s="1">
        <f t="shared" ref="AE207:AE209" si="514" xml:space="preserve"> O207*(1-O207)</f>
        <v>4.9346010064325652E-2</v>
      </c>
      <c r="AF207" s="1">
        <v>1</v>
      </c>
      <c r="AG207" s="1">
        <f t="shared" ref="AG207:AG209" si="515">J207</f>
        <v>0</v>
      </c>
      <c r="AH207" s="1">
        <f t="shared" ref="AH207:AH209" si="516">K207</f>
        <v>1</v>
      </c>
      <c r="AI207" s="1"/>
      <c r="AJ207" s="1"/>
      <c r="AK207" s="1">
        <v>1</v>
      </c>
      <c r="AL207" s="1">
        <f t="shared" ref="AL207:AL209" si="517">J207</f>
        <v>0</v>
      </c>
      <c r="AM207" s="8">
        <f t="shared" ref="AM207:AM209" si="518">K207</f>
        <v>1</v>
      </c>
      <c r="AN207" s="1">
        <f t="shared" ref="AN207:AN209" si="519">S207*T207*AB207*AD207*AF207</f>
        <v>8.3455155840526547E-3</v>
      </c>
      <c r="AO207" s="1">
        <f t="shared" ref="AO207:AO209" si="520">S207*T207*AB207*AD207*AG207</f>
        <v>0</v>
      </c>
      <c r="AP207" s="1">
        <f t="shared" ref="AP207:AP209" si="521">S207*T207*AB207*AD207*AH207</f>
        <v>8.3455155840526547E-3</v>
      </c>
      <c r="AQ207" s="1">
        <f t="shared" ref="AQ207:AQ209" si="522">S207*T207*AC207*AE207*AK207</f>
        <v>8.0877101300911181E-3</v>
      </c>
      <c r="AR207" s="1">
        <f t="shared" ref="AR207:AR209" si="523">S207*T207*AC207*AE207*AL207</f>
        <v>0</v>
      </c>
      <c r="AS207" s="8">
        <f t="shared" ref="AS207:AS209" si="524">S207*T207*AC207*AE207*AM207</f>
        <v>8.0877101300911181E-3</v>
      </c>
      <c r="AT207" s="1"/>
    </row>
    <row r="208" spans="1:4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3">
        <v>1</v>
      </c>
      <c r="K208" s="3">
        <v>0</v>
      </c>
      <c r="L208" s="1" cm="1">
        <f t="array" ref="L208">INDEX(B:B, 14 + INT((ROW()-14)/8)*8)*J208
+ INDEX(C:C, 14 + INT((ROW()-14)/8)*8)*K208
+ INDEX(A:A, 14 + INT((ROW()-14)/8)*8)</f>
        <v>-1.7002447911189078</v>
      </c>
      <c r="M208" s="1" cm="1">
        <f t="array" ref="M208">INDEX(E:E, 14 + INT((ROW()-14)/8)*8)*J208
+ INDEX(F:F, 14 + INT((ROW()-14)/8)*8)*K208
+ INDEX(D:D, 14 + INT((ROW()-14)/8)*8)</f>
        <v>-3.1036896342327069</v>
      </c>
      <c r="N208" s="1">
        <f t="shared" si="504"/>
        <v>0.15443329666077049</v>
      </c>
      <c r="O208" s="1">
        <f t="shared" si="505"/>
        <v>4.295531745021787E-2</v>
      </c>
      <c r="P208" s="1" cm="1">
        <f t="array" ref="P208">INDEX(H:H, 14 + INT((ROW()-14)/8)*8)*N208
+ INDEX(I:I, 14 + INT((ROW()-14)/8)*8)*O208
+ INDEX(G:G, 14 + INT((ROW()-14)/8)*8)</f>
        <v>1.1872741770496142</v>
      </c>
      <c r="Q208" s="1">
        <f t="shared" si="506"/>
        <v>0.76625319854218032</v>
      </c>
      <c r="R208" s="8">
        <f>($C$6-Q208)^2</f>
        <v>5.4637567191761369E-2</v>
      </c>
      <c r="S208" s="1">
        <f>2*(Q208-$C$6)</f>
        <v>-0.46749360291563935</v>
      </c>
      <c r="T208" s="1">
        <f t="shared" si="507"/>
        <v>0.17910923426605829</v>
      </c>
      <c r="U208" s="1">
        <v>1</v>
      </c>
      <c r="V208" s="1">
        <f t="shared" si="508"/>
        <v>0.15443329666077049</v>
      </c>
      <c r="W208" s="8">
        <f t="shared" si="509"/>
        <v>4.295531745021787E-2</v>
      </c>
      <c r="X208" s="1">
        <f t="shared" si="510"/>
        <v>-8.3732421242500882E-2</v>
      </c>
      <c r="Y208" s="1">
        <f t="shared" si="511"/>
        <v>-1.293107384986774E-2</v>
      </c>
      <c r="Z208" s="8">
        <f t="shared" si="512"/>
        <v>-3.5967527353469916E-3</v>
      </c>
      <c r="AA208" s="1">
        <f>2*(Q208-$C$6)</f>
        <v>-0.46749360291563935</v>
      </c>
      <c r="AB208" s="1" cm="1">
        <f t="array" ref="AB208">INDEX(H:H, 14 + INT((ROW()-14)/8)*8)</f>
        <v>-4.7367800744860125</v>
      </c>
      <c r="AC208" s="1" cm="1">
        <f t="array" ref="AC208">INDEX(I:I, 14 + INT((ROW()-14)/8)*8)</f>
        <v>-3.9094586732843046</v>
      </c>
      <c r="AD208" s="1">
        <f t="shared" si="513"/>
        <v>0.13058365354325696</v>
      </c>
      <c r="AE208" s="1">
        <f t="shared" si="514"/>
        <v>4.1110158152968881E-2</v>
      </c>
      <c r="AF208" s="1">
        <v>1</v>
      </c>
      <c r="AG208" s="1">
        <f t="shared" si="515"/>
        <v>1</v>
      </c>
      <c r="AH208" s="1">
        <f t="shared" si="516"/>
        <v>0</v>
      </c>
      <c r="AI208" s="1"/>
      <c r="AJ208" s="1"/>
      <c r="AK208" s="1">
        <v>1</v>
      </c>
      <c r="AL208" s="1">
        <f t="shared" si="517"/>
        <v>1</v>
      </c>
      <c r="AM208" s="8">
        <f t="shared" si="518"/>
        <v>0</v>
      </c>
      <c r="AN208" s="1">
        <f t="shared" si="519"/>
        <v>5.1792358262189968E-2</v>
      </c>
      <c r="AO208" s="1">
        <f t="shared" si="520"/>
        <v>5.1792358262189968E-2</v>
      </c>
      <c r="AP208" s="1">
        <f t="shared" si="521"/>
        <v>0</v>
      </c>
      <c r="AQ208" s="1">
        <f t="shared" si="522"/>
        <v>1.3457346158503683E-2</v>
      </c>
      <c r="AR208" s="1">
        <f t="shared" si="523"/>
        <v>1.3457346158503683E-2</v>
      </c>
      <c r="AS208" s="8">
        <f t="shared" si="524"/>
        <v>0</v>
      </c>
      <c r="AT208" s="1"/>
    </row>
    <row r="209" spans="1:4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3">
        <v>1</v>
      </c>
      <c r="K209" s="3">
        <v>1</v>
      </c>
      <c r="L209" s="1" cm="1">
        <f t="array" ref="L209">INDEX(B:B, 14 + INT((ROW()-14)/8)*8)*J209
+ INDEX(C:C, 14 + INT((ROW()-14)/8)*8)*K209
+ INDEX(A:A, 14 + INT((ROW()-14)/8)*8)</f>
        <v>1.1412549024758398</v>
      </c>
      <c r="M209" s="1" cm="1">
        <f t="array" ref="M209">INDEX(E:E, 14 + INT((ROW()-14)/8)*8)*J209
+ INDEX(F:F, 14 + INT((ROW()-14)/8)*8)*K209
+ INDEX(D:D, 14 + INT((ROW()-14)/8)*8)</f>
        <v>-8.4124192510813565</v>
      </c>
      <c r="N209" s="1">
        <f t="shared" si="504"/>
        <v>0.75790996609927885</v>
      </c>
      <c r="O209" s="1">
        <f t="shared" si="505"/>
        <v>2.2204259650860771E-4</v>
      </c>
      <c r="P209" s="1" cm="1">
        <f t="array" ref="P209">INDEX(H:H, 14 + INT((ROW()-14)/8)*8)*N209
+ INDEX(I:I, 14 + INT((ROW()-14)/8)*8)*O209
+ INDEX(G:G, 14 + INT((ROW()-14)/8)*8)</f>
        <v>-1.5041981141492182</v>
      </c>
      <c r="Q209" s="1">
        <f t="shared" si="506"/>
        <v>0.18180022455163783</v>
      </c>
      <c r="R209" s="8">
        <f>($C$7-Q209)^2</f>
        <v>3.3051321647025941E-2</v>
      </c>
      <c r="S209" s="1">
        <f>2*(Q209-$C$7)</f>
        <v>0.36360044910327566</v>
      </c>
      <c r="T209" s="1">
        <f t="shared" si="507"/>
        <v>0.1487489029046119</v>
      </c>
      <c r="U209" s="1">
        <v>1</v>
      </c>
      <c r="V209" s="1">
        <f t="shared" si="508"/>
        <v>0.75790996609927885</v>
      </c>
      <c r="W209" s="8">
        <f t="shared" si="509"/>
        <v>2.2204259650860771E-4</v>
      </c>
      <c r="X209" s="1">
        <f t="shared" si="510"/>
        <v>5.4085167899736435E-2</v>
      </c>
      <c r="Y209" s="1">
        <f t="shared" si="511"/>
        <v>4.0991687769363044E-2</v>
      </c>
      <c r="Z209" s="8">
        <f t="shared" si="512"/>
        <v>1.2009211113061479E-5</v>
      </c>
      <c r="AA209" s="1">
        <f>2*(Q209-$C$7)</f>
        <v>0.36360044910327566</v>
      </c>
      <c r="AB209" s="1" cm="1">
        <f t="array" ref="AB209">INDEX(H:H, 14 + INT((ROW()-14)/8)*8)</f>
        <v>-4.7367800744860125</v>
      </c>
      <c r="AC209" s="1" cm="1">
        <f t="array" ref="AC209">INDEX(I:I, 14 + INT((ROW()-14)/8)*8)</f>
        <v>-3.9094586732843046</v>
      </c>
      <c r="AD209" s="1">
        <f t="shared" si="513"/>
        <v>0.18348244938666883</v>
      </c>
      <c r="AE209" s="1">
        <f t="shared" si="514"/>
        <v>2.2199329359394343E-4</v>
      </c>
      <c r="AF209" s="1">
        <v>1</v>
      </c>
      <c r="AG209" s="1">
        <f t="shared" si="515"/>
        <v>1</v>
      </c>
      <c r="AH209" s="1">
        <f t="shared" si="516"/>
        <v>1</v>
      </c>
      <c r="AI209" s="1"/>
      <c r="AJ209" s="1"/>
      <c r="AK209" s="1">
        <v>1</v>
      </c>
      <c r="AL209" s="1">
        <f t="shared" si="517"/>
        <v>1</v>
      </c>
      <c r="AM209" s="8">
        <f t="shared" si="518"/>
        <v>1</v>
      </c>
      <c r="AN209" s="1">
        <f t="shared" si="519"/>
        <v>-4.7006285339945934E-2</v>
      </c>
      <c r="AO209" s="1">
        <f t="shared" si="520"/>
        <v>-4.7006285339945934E-2</v>
      </c>
      <c r="AP209" s="1">
        <f t="shared" si="521"/>
        <v>-4.7006285339945934E-2</v>
      </c>
      <c r="AQ209" s="1">
        <f t="shared" si="522"/>
        <v>-4.6939089753146009E-5</v>
      </c>
      <c r="AR209" s="1">
        <f t="shared" si="523"/>
        <v>-4.6939089753146009E-5</v>
      </c>
      <c r="AS209" s="8">
        <f t="shared" si="524"/>
        <v>-4.6939089753146009E-5</v>
      </c>
      <c r="AT209" s="1"/>
    </row>
    <row r="210" spans="1:4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6">
        <f>SUM(R206:R209)</f>
        <v>0.14519509208407486</v>
      </c>
      <c r="S210" s="1"/>
      <c r="T210" s="1"/>
      <c r="U210" s="1"/>
      <c r="V210" s="1"/>
      <c r="W210" s="1"/>
      <c r="X210" s="1">
        <f>AVERAGE(X206:X209)</f>
        <v>-4.5290946356321363E-3</v>
      </c>
      <c r="Y210" s="1">
        <f>AVERAGE(Y206:Y209)</f>
        <v>6.5901874597688193E-3</v>
      </c>
      <c r="Z210" s="1">
        <f>AVERAGE(Z206:Z209)</f>
        <v>1.0817177898516966E-2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>
        <f>AVERAGE(AN206:AN209)</f>
        <v>3.1140123280449794E-3</v>
      </c>
      <c r="AO210" s="1">
        <f>AVERAGE(AO206:AO209)</f>
        <v>1.1965182305610084E-3</v>
      </c>
      <c r="AP210" s="1">
        <f xml:space="preserve"> AVERAGE(AP206:AP209)</f>
        <v>-9.665192438973319E-3</v>
      </c>
      <c r="AQ210" s="1">
        <f>AVERAGE(AQ206:AQ209)</f>
        <v>1.4130065027924243E-3</v>
      </c>
      <c r="AR210" s="1">
        <f>AVERAGE(AR206:AR209)</f>
        <v>3.3526017671876344E-3</v>
      </c>
      <c r="AS210" s="1">
        <f>AVERAGE(AS206:AS209)</f>
        <v>2.0101927600844932E-3</v>
      </c>
      <c r="AT210" s="1"/>
    </row>
    <row r="211" spans="1:4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8"/>
      <c r="S211" s="1"/>
      <c r="T211" s="1"/>
      <c r="U211" s="1"/>
      <c r="V211" s="1"/>
      <c r="W211" s="8"/>
      <c r="X211" s="1"/>
      <c r="Y211" s="1"/>
      <c r="Z211" s="8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8"/>
      <c r="AM211" s="1"/>
      <c r="AN211" s="1"/>
      <c r="AO211" s="1"/>
      <c r="AP211" s="1"/>
      <c r="AQ211" s="1"/>
      <c r="AR211" s="8"/>
      <c r="AS211" s="1"/>
    </row>
    <row r="212" spans="1:46" ht="15" thickBot="1" x14ac:dyDescent="0.35">
      <c r="A212" s="1" t="s">
        <v>38</v>
      </c>
      <c r="B212" s="1">
        <v>25</v>
      </c>
      <c r="C212" s="1"/>
      <c r="D212" s="1"/>
      <c r="E212" s="1"/>
      <c r="F212" s="1"/>
      <c r="G212" s="1"/>
      <c r="H212" s="1"/>
      <c r="I212" s="1"/>
      <c r="J212" s="30" t="s">
        <v>7</v>
      </c>
      <c r="K212" s="31"/>
      <c r="L212" s="30" t="s">
        <v>8</v>
      </c>
      <c r="M212" s="31"/>
      <c r="N212" s="30" t="s">
        <v>9</v>
      </c>
      <c r="O212" s="31"/>
      <c r="P212" s="1"/>
      <c r="Q212" s="9" t="s">
        <v>10</v>
      </c>
      <c r="R212" s="10" t="s">
        <v>11</v>
      </c>
      <c r="S212" s="1"/>
      <c r="T212" s="11"/>
      <c r="U212" s="23" t="s">
        <v>13</v>
      </c>
      <c r="V212" s="24"/>
      <c r="W212" s="26"/>
      <c r="X212" s="32" t="s">
        <v>12</v>
      </c>
      <c r="Y212" s="33"/>
      <c r="Z212" s="34"/>
      <c r="AA212" s="35"/>
      <c r="AB212" s="25"/>
      <c r="AC212" s="21"/>
      <c r="AD212" s="22"/>
      <c r="AE212" s="11"/>
      <c r="AF212" s="11"/>
      <c r="AG212" s="23" t="s">
        <v>44</v>
      </c>
      <c r="AH212" s="24"/>
      <c r="AI212" s="25"/>
      <c r="AJ212" s="17"/>
      <c r="AK212" s="17"/>
      <c r="AL212" s="23" t="s">
        <v>45</v>
      </c>
      <c r="AM212" s="24"/>
      <c r="AN212" s="26"/>
      <c r="AO212" s="27" t="s">
        <v>12</v>
      </c>
      <c r="AP212" s="28"/>
      <c r="AQ212" s="28"/>
      <c r="AR212" s="28"/>
      <c r="AS212" s="28"/>
      <c r="AT212" s="29"/>
    </row>
    <row r="213" spans="1:46" ht="15" thickBot="1" x14ac:dyDescent="0.35">
      <c r="A213" s="12" t="s">
        <v>14</v>
      </c>
      <c r="B213" s="12" t="s">
        <v>15</v>
      </c>
      <c r="C213" s="12" t="s">
        <v>16</v>
      </c>
      <c r="D213" s="12" t="s">
        <v>17</v>
      </c>
      <c r="E213" s="12" t="s">
        <v>18</v>
      </c>
      <c r="F213" s="12" t="s">
        <v>19</v>
      </c>
      <c r="G213" s="12" t="s">
        <v>20</v>
      </c>
      <c r="H213" s="12" t="s">
        <v>21</v>
      </c>
      <c r="I213" s="12" t="s">
        <v>22</v>
      </c>
      <c r="J213" s="12" t="s">
        <v>23</v>
      </c>
      <c r="K213" s="12" t="s">
        <v>24</v>
      </c>
      <c r="L213" s="12" t="s">
        <v>39</v>
      </c>
      <c r="M213" s="12" t="s">
        <v>40</v>
      </c>
      <c r="N213" s="12" t="s">
        <v>41</v>
      </c>
      <c r="O213" s="12" t="s">
        <v>42</v>
      </c>
      <c r="P213" s="12" t="s">
        <v>25</v>
      </c>
      <c r="Q213" s="12" t="s">
        <v>26</v>
      </c>
      <c r="R213" s="13" t="s">
        <v>27</v>
      </c>
      <c r="S213" s="12" t="s">
        <v>43</v>
      </c>
      <c r="T213" s="12" t="s">
        <v>31</v>
      </c>
      <c r="U213" s="12" t="s">
        <v>28</v>
      </c>
      <c r="V213" s="12" t="s">
        <v>29</v>
      </c>
      <c r="W213" s="13" t="s">
        <v>30</v>
      </c>
      <c r="X213" s="12" t="s">
        <v>28</v>
      </c>
      <c r="Y213" s="12" t="s">
        <v>29</v>
      </c>
      <c r="Z213" s="13" t="s">
        <v>30</v>
      </c>
      <c r="AA213" s="12" t="s">
        <v>50</v>
      </c>
      <c r="AB213" s="12" t="s">
        <v>48</v>
      </c>
      <c r="AC213" s="12" t="s">
        <v>49</v>
      </c>
      <c r="AD213" s="12" t="s">
        <v>46</v>
      </c>
      <c r="AE213" s="12" t="s">
        <v>47</v>
      </c>
      <c r="AF213" s="12" t="s">
        <v>32</v>
      </c>
      <c r="AG213" s="12" t="s">
        <v>33</v>
      </c>
      <c r="AH213" s="12" t="s">
        <v>34</v>
      </c>
      <c r="AI213" s="12"/>
      <c r="AJ213" s="12"/>
      <c r="AK213" s="12" t="s">
        <v>35</v>
      </c>
      <c r="AL213" s="12" t="s">
        <v>36</v>
      </c>
      <c r="AM213" s="13" t="s">
        <v>37</v>
      </c>
      <c r="AN213" s="12" t="s">
        <v>32</v>
      </c>
      <c r="AO213" s="12" t="s">
        <v>33</v>
      </c>
      <c r="AP213" s="12" t="s">
        <v>34</v>
      </c>
      <c r="AQ213" s="12" t="s">
        <v>35</v>
      </c>
      <c r="AR213" s="12" t="s">
        <v>36</v>
      </c>
      <c r="AS213" s="13" t="s">
        <v>37</v>
      </c>
      <c r="AT213" s="1"/>
    </row>
    <row r="214" spans="1:46" ht="15" thickBot="1" x14ac:dyDescent="0.35">
      <c r="A214" s="3" cm="1">
        <f t="array" ref="A214">INDEX(A:A, 14 + INT((ROW()-18)/8)*8)
 - $C$9 *
 INDEX(AN:AN, 18 + INT((ROW()-18)/8)*8)</f>
        <v>-5.9366416457368425</v>
      </c>
      <c r="B214" s="3" cm="1">
        <f t="array" ref="B214">INDEX(B:B, 14 + INT((ROW()-18)/8)*8)
 - $C$9 *
 INDEX(AO:AO, 18 + INT((ROW()-18)/8)*8)</f>
        <v>4.2148442018249046</v>
      </c>
      <c r="C214" s="3" cm="1">
        <f t="array" ref="C214">INDEX(C:C, 14 + INT((ROW()-18)/8)*8)
 - $C$9 *
 INDEX(AP:AP, 18 + INT((ROW()-18)/8)*8)</f>
        <v>2.8898256557896147</v>
      </c>
      <c r="D214" s="3" cm="1">
        <f t="array" ref="D214">INDEX(D:D, 14 + INT((ROW()-18)/8)*8)
 - $C$9 *
 INDEX(AQ:AQ, 18 + INT((ROW()-18)/8)*8)</f>
        <v>2.3996855352114168</v>
      </c>
      <c r="E214" s="3" cm="1">
        <f t="array" ref="E214">INDEX(E:E, 14 + INT((ROW()-18)/8)*8)
 - $C$9 *
 INDEX(AR:AR, 18 + INT((ROW()-18)/8)*8)</f>
        <v>-5.5272032107940241</v>
      </c>
      <c r="F214" s="3" cm="1">
        <f t="array" ref="F214">INDEX(F:F, 14 + INT((ROW()-18)/8)*8)
 - $C$9 *
 INDEX(AS:AS, 18 + INT((ROW()-18)/8)*8)</f>
        <v>-5.3187805806490713</v>
      </c>
      <c r="G214" s="3" cm="1">
        <f t="array" ref="G214">INDEX(G:G, 14 + INT((ROW()-18)/8)*8)
 - $C$9 *
 INDEX(X:X, 18 + INT((ROW()-18)/8)*8)</f>
        <v>2.109368251057135</v>
      </c>
      <c r="H214" s="3" cm="1">
        <f t="array" ref="H214">INDEX(H:H, 14 + INT((ROW()-18)/8)*8)
 - $C$9 *
 INDEX(Y:Y, 18 + INT((ROW()-18)/8)*8)</f>
        <v>-4.7697310117848568</v>
      </c>
      <c r="I214" s="3" cm="1">
        <f t="array" ref="I214">INDEX(I:I, 14 + INT((ROW()-18)/8)*8)
 - $C$9 *
 INDEX(Z:Z, 18 + INT((ROW()-18)/8)*8)</f>
        <v>-3.9635445627768893</v>
      </c>
      <c r="J214" s="3">
        <v>0</v>
      </c>
      <c r="K214" s="3">
        <v>0</v>
      </c>
      <c r="L214" s="1" cm="1">
        <f t="array" ref="L214">INDEX(B:B, 14 + INT((ROW()-14)/8)*8)*J214
+ INDEX(C:C, 14 + INT((ROW()-14)/8)*8)*K214
+ INDEX(A:A, 14 + INT((ROW()-14)/8)*8)</f>
        <v>-5.9366416457368425</v>
      </c>
      <c r="M214" s="1" cm="1">
        <f t="array" ref="M214">INDEX(E:E, 14 + INT((ROW()-14)/8)*8)*J214
+ INDEX(F:F, 14 + INT((ROW()-14)/8)*8)*K214
+ INDEX(D:D, 14 + INT((ROW()-14)/8)*8)</f>
        <v>2.3996855352114168</v>
      </c>
      <c r="N214" s="1">
        <f>1/(1+EXP(-L214))</f>
        <v>2.633927900852936E-3</v>
      </c>
      <c r="O214" s="1">
        <f>1/(1+EXP(-M214))</f>
        <v>0.91680332085053329</v>
      </c>
      <c r="P214" s="1" cm="1">
        <f t="array" ref="P214">INDEX(H:H, 14 + INT((ROW()-14)/8)*8)*N214
+ INDEX(I:I, 14 + INT((ROW()-14)/8)*8)*O214
+ INDEX(G:G, 14 + INT((ROW()-14)/8)*8)</f>
        <v>-1.5369856940272957</v>
      </c>
      <c r="Q214" s="1">
        <f>1/(1+EXP(-P214))</f>
        <v>0.17697389349179193</v>
      </c>
      <c r="R214" s="8">
        <f>($C$4-Q214)^2</f>
        <v>3.1319758977644115E-2</v>
      </c>
      <c r="S214" s="1">
        <f>2*(Q214-$C$4)</f>
        <v>0.35394778698358387</v>
      </c>
      <c r="T214" s="1">
        <f>Q214*(1-Q214)</f>
        <v>0.14565413451414783</v>
      </c>
      <c r="U214" s="1">
        <v>1</v>
      </c>
      <c r="V214" s="1">
        <f>N214</f>
        <v>2.633927900852936E-3</v>
      </c>
      <c r="W214" s="8">
        <f>O214</f>
        <v>0.91680332085053329</v>
      </c>
      <c r="X214" s="1">
        <f>S214*T214*U214</f>
        <v>5.1553958576291865E-2</v>
      </c>
      <c r="Y214" s="1">
        <f>S214*T214*V214</f>
        <v>1.3578940989351164E-4</v>
      </c>
      <c r="Z214" s="8">
        <f>S214*T214*W214</f>
        <v>4.7264840425735213E-2</v>
      </c>
      <c r="AA214" s="1">
        <f>2*(Q214-$C$4)</f>
        <v>0.35394778698358387</v>
      </c>
      <c r="AB214" s="1" cm="1">
        <f t="array" ref="AB214">INDEX(H:H, 14 + INT((ROW()-14)/8)*8)</f>
        <v>-4.7697310117848568</v>
      </c>
      <c r="AC214" s="1" cm="1">
        <f t="array" ref="AC214">INDEX(I:I, 14 + INT((ROW()-14)/8)*8)</f>
        <v>-3.9635445627768893</v>
      </c>
      <c r="AD214" s="1">
        <f>N214*(1-N214)</f>
        <v>2.6269903246660445E-3</v>
      </c>
      <c r="AE214" s="1">
        <f xml:space="preserve"> O214*(1-O214)</f>
        <v>7.6274991727967409E-2</v>
      </c>
      <c r="AF214" s="1">
        <v>1</v>
      </c>
      <c r="AG214" s="1">
        <f>J214</f>
        <v>0</v>
      </c>
      <c r="AH214" s="1">
        <f>K214</f>
        <v>0</v>
      </c>
      <c r="AI214" s="1"/>
      <c r="AJ214" s="1"/>
      <c r="AK214" s="1">
        <v>1</v>
      </c>
      <c r="AL214" s="1">
        <f>J214</f>
        <v>0</v>
      </c>
      <c r="AM214" s="8">
        <f>K214</f>
        <v>0</v>
      </c>
      <c r="AN214" s="1">
        <f>S214*T214*AB214*AD214*AF214</f>
        <v>-6.4597301975898079E-4</v>
      </c>
      <c r="AO214" s="1">
        <f>S214*T214*AB214*AD214*AG214</f>
        <v>0</v>
      </c>
      <c r="AP214" s="1">
        <f>S214*T214*AB214*AD214*AH214</f>
        <v>0</v>
      </c>
      <c r="AQ214" s="1">
        <f>S214*T214*AC214*AE214*AK214</f>
        <v>-1.558575815063501E-2</v>
      </c>
      <c r="AR214" s="1">
        <f>S214*T214*AC214*AE214*AL214</f>
        <v>0</v>
      </c>
      <c r="AS214" s="8">
        <f>S214*T214*AC214*AE214*AM214</f>
        <v>0</v>
      </c>
      <c r="AT214" s="1"/>
    </row>
    <row r="215" spans="1:4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3">
        <v>0</v>
      </c>
      <c r="K215" s="3">
        <v>1</v>
      </c>
      <c r="L215" s="1" cm="1">
        <f t="array" ref="L215">INDEX(B:B, 14 + INT((ROW()-14)/8)*8)*J215
+ INDEX(C:C, 14 + INT((ROW()-14)/8)*8)*K215
+ INDEX(A:A, 14 + INT((ROW()-14)/8)*8)</f>
        <v>-3.0468159899472278</v>
      </c>
      <c r="M215" s="1" cm="1">
        <f t="array" ref="M215">INDEX(E:E, 14 + INT((ROW()-14)/8)*8)*J215
+ INDEX(F:F, 14 + INT((ROW()-14)/8)*8)*K215
+ INDEX(D:D, 14 + INT((ROW()-14)/8)*8)</f>
        <v>-2.9190950454376545</v>
      </c>
      <c r="N215" s="1">
        <f t="shared" ref="N215:N217" si="525">1/(1+EXP(-L215))</f>
        <v>4.535513550580942E-2</v>
      </c>
      <c r="O215" s="1">
        <f t="shared" ref="O215:O217" si="526">1/(1+EXP(-M215))</f>
        <v>5.1217658794818405E-2</v>
      </c>
      <c r="P215" s="1" cm="1">
        <f t="array" ref="P215">INDEX(H:H, 14 + INT((ROW()-14)/8)*8)*N215
+ INDEX(I:I, 14 + INT((ROW()-14)/8)*8)*O215
+ INDEX(G:G, 14 + INT((ROW()-14)/8)*8)</f>
        <v>1.690032981657007</v>
      </c>
      <c r="Q215" s="1">
        <f t="shared" ref="Q215:Q217" si="527">1/(1+EXP(-P215))</f>
        <v>0.84422849723574378</v>
      </c>
      <c r="R215" s="8">
        <f>($C$5-Q215)^2</f>
        <v>2.4264761073434685E-2</v>
      </c>
      <c r="S215" s="1">
        <f>2*(Q215-$C$5)</f>
        <v>-0.31154300552851244</v>
      </c>
      <c r="T215" s="1">
        <f t="shared" ref="T215:T217" si="528">Q215*(1-Q215)</f>
        <v>0.13150674169082155</v>
      </c>
      <c r="U215" s="1">
        <v>1</v>
      </c>
      <c r="V215" s="1">
        <f t="shared" ref="V215:V217" si="529">N215</f>
        <v>4.535513550580942E-2</v>
      </c>
      <c r="W215" s="8">
        <f t="shared" ref="W215:W217" si="530">O215</f>
        <v>5.1217658794818405E-2</v>
      </c>
      <c r="X215" s="1">
        <f t="shared" ref="X215:X217" si="531">S215*T215*U215</f>
        <v>-4.0970005553620278E-2</v>
      </c>
      <c r="Y215" s="1">
        <f t="shared" ref="Y215:Y217" si="532">S215*T215*V215</f>
        <v>-1.8582001535582121E-3</v>
      </c>
      <c r="Z215" s="8">
        <f t="shared" ref="Z215:Z217" si="533">S215*T215*W215</f>
        <v>-2.0983877652671385E-3</v>
      </c>
      <c r="AA215" s="1">
        <f>2*(Q215-$C$5)</f>
        <v>-0.31154300552851244</v>
      </c>
      <c r="AB215" s="1" cm="1">
        <f t="array" ref="AB215">INDEX(H:H, 14 + INT((ROW()-14)/8)*8)</f>
        <v>-4.7697310117848568</v>
      </c>
      <c r="AC215" s="1" cm="1">
        <f t="array" ref="AC215">INDEX(I:I, 14 + INT((ROW()-14)/8)*8)</f>
        <v>-3.9635445627768893</v>
      </c>
      <c r="AD215" s="1">
        <f t="shared" ref="AD215:AD217" si="534">N215*(1-N215)</f>
        <v>4.3298047189059087E-2</v>
      </c>
      <c r="AE215" s="1">
        <f t="shared" ref="AE215:AE217" si="535" xml:space="preserve"> O215*(1-O215)</f>
        <v>4.8594410222395967E-2</v>
      </c>
      <c r="AF215" s="1">
        <v>1</v>
      </c>
      <c r="AG215" s="1">
        <f t="shared" ref="AG215:AG217" si="536">J215</f>
        <v>0</v>
      </c>
      <c r="AH215" s="1">
        <f t="shared" ref="AH215:AH217" si="537">K215</f>
        <v>1</v>
      </c>
      <c r="AI215" s="1"/>
      <c r="AJ215" s="1"/>
      <c r="AK215" s="1">
        <v>1</v>
      </c>
      <c r="AL215" s="1">
        <f t="shared" ref="AL215:AL217" si="538">J215</f>
        <v>0</v>
      </c>
      <c r="AM215" s="8">
        <f t="shared" ref="AM215:AM217" si="539">K215</f>
        <v>1</v>
      </c>
      <c r="AN215" s="1">
        <f t="shared" ref="AN215:AN217" si="540">S215*T215*AB215*AD215*AF215</f>
        <v>8.4611271213036032E-3</v>
      </c>
      <c r="AO215" s="1">
        <f t="shared" ref="AO215:AO217" si="541">S215*T215*AB215*AD215*AG215</f>
        <v>0</v>
      </c>
      <c r="AP215" s="1">
        <f t="shared" ref="AP215:AP217" si="542">S215*T215*AB215*AD215*AH215</f>
        <v>8.4611271213036032E-3</v>
      </c>
      <c r="AQ215" s="1">
        <f t="shared" ref="AQ215:AQ217" si="543">S215*T215*AC215*AE215*AK215</f>
        <v>7.8910734135000677E-3</v>
      </c>
      <c r="AR215" s="1">
        <f t="shared" ref="AR215:AR217" si="544">S215*T215*AC215*AE215*AL215</f>
        <v>0</v>
      </c>
      <c r="AS215" s="8">
        <f t="shared" ref="AS215:AS217" si="545">S215*T215*AC215*AE215*AM215</f>
        <v>7.8910734135000677E-3</v>
      </c>
      <c r="AT215" s="1"/>
    </row>
    <row r="216" spans="1:4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3">
        <v>1</v>
      </c>
      <c r="K216" s="3">
        <v>0</v>
      </c>
      <c r="L216" s="1" cm="1">
        <f t="array" ref="L216">INDEX(B:B, 14 + INT((ROW()-14)/8)*8)*J216
+ INDEX(C:C, 14 + INT((ROW()-14)/8)*8)*K216
+ INDEX(A:A, 14 + INT((ROW()-14)/8)*8)</f>
        <v>-1.7217974439119379</v>
      </c>
      <c r="M216" s="1" cm="1">
        <f t="array" ref="M216">INDEX(E:E, 14 + INT((ROW()-14)/8)*8)*J216
+ INDEX(F:F, 14 + INT((ROW()-14)/8)*8)*K216
+ INDEX(D:D, 14 + INT((ROW()-14)/8)*8)</f>
        <v>-3.1275176755826073</v>
      </c>
      <c r="N216" s="1">
        <f t="shared" si="525"/>
        <v>0.15163978637777692</v>
      </c>
      <c r="O216" s="1">
        <f t="shared" si="526"/>
        <v>4.1986341362470002E-2</v>
      </c>
      <c r="P216" s="1" cm="1">
        <f t="array" ref="P216">INDEX(H:H, 14 + INT((ROW()-14)/8)*8)*N216
+ INDEX(I:I, 14 + INT((ROW()-14)/8)*8)*O216
+ INDEX(G:G, 14 + INT((ROW()-14)/8)*8)</f>
        <v>1.2196725243325091</v>
      </c>
      <c r="Q216" s="1">
        <f t="shared" si="527"/>
        <v>0.77200591465773372</v>
      </c>
      <c r="R216" s="8">
        <f>($C$6-Q216)^2</f>
        <v>5.1981302951056602E-2</v>
      </c>
      <c r="S216" s="1">
        <f>2*(Q216-$C$6)</f>
        <v>-0.45598817068453257</v>
      </c>
      <c r="T216" s="1">
        <f t="shared" si="528"/>
        <v>0.17601278239120968</v>
      </c>
      <c r="U216" s="1">
        <v>1</v>
      </c>
      <c r="V216" s="1">
        <f t="shared" si="529"/>
        <v>0.15163978637777692</v>
      </c>
      <c r="W216" s="8">
        <f t="shared" si="530"/>
        <v>4.1986341362470002E-2</v>
      </c>
      <c r="X216" s="1">
        <f t="shared" si="531"/>
        <v>-8.0259746659662415E-2</v>
      </c>
      <c r="Y216" s="1">
        <f t="shared" si="532"/>
        <v>-1.2170570838205703E-2</v>
      </c>
      <c r="Z216" s="8">
        <f t="shared" si="533"/>
        <v>-3.3698131209179477E-3</v>
      </c>
      <c r="AA216" s="1">
        <f>2*(Q216-$C$6)</f>
        <v>-0.45598817068453257</v>
      </c>
      <c r="AB216" s="1" cm="1">
        <f t="array" ref="AB216">INDEX(H:H, 14 + INT((ROW()-14)/8)*8)</f>
        <v>-4.7697310117848568</v>
      </c>
      <c r="AC216" s="1" cm="1">
        <f t="array" ref="AC216">INDEX(I:I, 14 + INT((ROW()-14)/8)*8)</f>
        <v>-3.9635445627768893</v>
      </c>
      <c r="AD216" s="1">
        <f t="shared" si="534"/>
        <v>0.1286451615650791</v>
      </c>
      <c r="AE216" s="1">
        <f t="shared" si="535"/>
        <v>4.0223488501464143E-2</v>
      </c>
      <c r="AF216" s="1">
        <v>1</v>
      </c>
      <c r="AG216" s="1">
        <f t="shared" si="536"/>
        <v>1</v>
      </c>
      <c r="AH216" s="1">
        <f t="shared" si="537"/>
        <v>0</v>
      </c>
      <c r="AI216" s="1"/>
      <c r="AJ216" s="1"/>
      <c r="AK216" s="1">
        <v>1</v>
      </c>
      <c r="AL216" s="1">
        <f t="shared" si="538"/>
        <v>1</v>
      </c>
      <c r="AM216" s="8">
        <f t="shared" si="539"/>
        <v>0</v>
      </c>
      <c r="AN216" s="1">
        <f t="shared" si="540"/>
        <v>4.9247606612622369E-2</v>
      </c>
      <c r="AO216" s="1">
        <f t="shared" si="541"/>
        <v>4.9247606612622369E-2</v>
      </c>
      <c r="AP216" s="1">
        <f t="shared" si="542"/>
        <v>0</v>
      </c>
      <c r="AQ216" s="1">
        <f t="shared" si="543"/>
        <v>1.2795617915410432E-2</v>
      </c>
      <c r="AR216" s="1">
        <f t="shared" si="544"/>
        <v>1.2795617915410432E-2</v>
      </c>
      <c r="AS216" s="8">
        <f t="shared" si="545"/>
        <v>0</v>
      </c>
      <c r="AT216" s="1"/>
    </row>
    <row r="217" spans="1:4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3">
        <v>1</v>
      </c>
      <c r="K217" s="3">
        <v>1</v>
      </c>
      <c r="L217" s="1" cm="1">
        <f t="array" ref="L217">INDEX(B:B, 14 + INT((ROW()-14)/8)*8)*J217
+ INDEX(C:C, 14 + INT((ROW()-14)/8)*8)*K217
+ INDEX(A:A, 14 + INT((ROW()-14)/8)*8)</f>
        <v>1.1680282118776768</v>
      </c>
      <c r="M217" s="1" cm="1">
        <f t="array" ref="M217">INDEX(E:E, 14 + INT((ROW()-14)/8)*8)*J217
+ INDEX(F:F, 14 + INT((ROW()-14)/8)*8)*K217
+ INDEX(D:D, 14 + INT((ROW()-14)/8)*8)</f>
        <v>-8.44629825623168</v>
      </c>
      <c r="N217" s="1">
        <f t="shared" si="525"/>
        <v>0.76278842084546306</v>
      </c>
      <c r="O217" s="1">
        <f t="shared" si="526"/>
        <v>2.1464760375053776E-4</v>
      </c>
      <c r="P217" s="1" cm="1">
        <f t="array" ref="P217">INDEX(H:H, 14 + INT((ROW()-14)/8)*8)*N217
+ INDEX(I:I, 14 + INT((ROW()-14)/8)*8)*O217
+ INDEX(G:G, 14 + INT((ROW()-14)/8)*8)</f>
        <v>-1.5297781006226274</v>
      </c>
      <c r="Q217" s="1">
        <f t="shared" si="527"/>
        <v>0.17802615463307928</v>
      </c>
      <c r="R217" s="8">
        <f>($C$7-Q217)^2</f>
        <v>3.1693311733441053E-2</v>
      </c>
      <c r="S217" s="1">
        <f>2*(Q217-$C$7)</f>
        <v>0.35605230926615855</v>
      </c>
      <c r="T217" s="1">
        <f t="shared" si="528"/>
        <v>0.14633284289963822</v>
      </c>
      <c r="U217" s="1">
        <v>1</v>
      </c>
      <c r="V217" s="1">
        <f t="shared" si="529"/>
        <v>0.76278842084546306</v>
      </c>
      <c r="W217" s="8">
        <f t="shared" si="530"/>
        <v>2.1464760375053776E-4</v>
      </c>
      <c r="X217" s="1">
        <f t="shared" si="531"/>
        <v>5.2102146635898176E-2</v>
      </c>
      <c r="Y217" s="1">
        <f t="shared" si="532"/>
        <v>3.9742914155055528E-2</v>
      </c>
      <c r="Z217" s="8">
        <f t="shared" si="533"/>
        <v>1.1183600925654685E-5</v>
      </c>
      <c r="AA217" s="1">
        <f>2*(Q217-$C$7)</f>
        <v>0.35605230926615855</v>
      </c>
      <c r="AB217" s="1" cm="1">
        <f t="array" ref="AB217">INDEX(H:H, 14 + INT((ROW()-14)/8)*8)</f>
        <v>-4.7697310117848568</v>
      </c>
      <c r="AC217" s="1" cm="1">
        <f t="array" ref="AC217">INDEX(I:I, 14 + INT((ROW()-14)/8)*8)</f>
        <v>-3.9635445627768893</v>
      </c>
      <c r="AD217" s="1">
        <f t="shared" si="534"/>
        <v>0.1809422458695478</v>
      </c>
      <c r="AE217" s="1">
        <f t="shared" si="535"/>
        <v>2.1460153015674191E-4</v>
      </c>
      <c r="AF217" s="1">
        <v>1</v>
      </c>
      <c r="AG217" s="1">
        <f t="shared" si="536"/>
        <v>1</v>
      </c>
      <c r="AH217" s="1">
        <f t="shared" si="537"/>
        <v>1</v>
      </c>
      <c r="AI217" s="1"/>
      <c r="AJ217" s="1"/>
      <c r="AK217" s="1">
        <v>1</v>
      </c>
      <c r="AL217" s="1">
        <f t="shared" si="538"/>
        <v>1</v>
      </c>
      <c r="AM217" s="8">
        <f t="shared" si="539"/>
        <v>1</v>
      </c>
      <c r="AN217" s="1">
        <f t="shared" si="540"/>
        <v>-4.4966540985562749E-2</v>
      </c>
      <c r="AO217" s="1">
        <f t="shared" si="541"/>
        <v>-4.4966540985562749E-2</v>
      </c>
      <c r="AP217" s="1">
        <f t="shared" si="542"/>
        <v>-4.4966540985562749E-2</v>
      </c>
      <c r="AQ217" s="1">
        <f t="shared" si="543"/>
        <v>-4.4317186021070424E-5</v>
      </c>
      <c r="AR217" s="1">
        <f t="shared" si="544"/>
        <v>-4.4317186021070424E-5</v>
      </c>
      <c r="AS217" s="8">
        <f t="shared" si="545"/>
        <v>-4.4317186021070424E-5</v>
      </c>
      <c r="AT217" s="1"/>
    </row>
    <row r="218" spans="1:4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6">
        <f>SUM(R214:R217)</f>
        <v>0.13925913473557647</v>
      </c>
      <c r="S218" s="1"/>
      <c r="T218" s="1"/>
      <c r="U218" s="1"/>
      <c r="V218" s="1"/>
      <c r="W218" s="1"/>
      <c r="X218" s="1">
        <f>AVERAGE(X214:X217)</f>
        <v>-4.3934117502731646E-3</v>
      </c>
      <c r="Y218" s="1">
        <f>AVERAGE(Y214:Y217)</f>
        <v>6.4624831432962809E-3</v>
      </c>
      <c r="Z218" s="1">
        <f>AVERAGE(Z214:Z217)</f>
        <v>1.0451955785118944E-2</v>
      </c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>
        <f>AVERAGE(AN214:AN217)</f>
        <v>3.0240549321510612E-3</v>
      </c>
      <c r="AO218" s="1">
        <f>AVERAGE(AO214:AO217)</f>
        <v>1.070266406764905E-3</v>
      </c>
      <c r="AP218" s="1">
        <f xml:space="preserve"> AVERAGE(AP214:AP217)</f>
        <v>-9.126353466064786E-3</v>
      </c>
      <c r="AQ218" s="1">
        <f>AVERAGE(AQ214:AQ217)</f>
        <v>1.2641539980636049E-3</v>
      </c>
      <c r="AR218" s="1">
        <f>AVERAGE(AR214:AR217)</f>
        <v>3.1878251823473404E-3</v>
      </c>
      <c r="AS218" s="1">
        <f>AVERAGE(AS214:AS217)</f>
        <v>1.9616890568697493E-3</v>
      </c>
      <c r="AT218" s="1"/>
    </row>
    <row r="219" spans="1:4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6" ht="15" thickBot="1" x14ac:dyDescent="0.35">
      <c r="A220" s="1" t="s">
        <v>38</v>
      </c>
      <c r="B220" s="1">
        <v>26</v>
      </c>
      <c r="C220" s="1"/>
      <c r="D220" s="1"/>
      <c r="E220" s="1"/>
      <c r="F220" s="1"/>
      <c r="G220" s="1"/>
      <c r="H220" s="1"/>
      <c r="I220" s="1"/>
      <c r="J220" s="30" t="s">
        <v>7</v>
      </c>
      <c r="K220" s="31"/>
      <c r="L220" s="30" t="s">
        <v>8</v>
      </c>
      <c r="M220" s="31"/>
      <c r="N220" s="30" t="s">
        <v>9</v>
      </c>
      <c r="O220" s="31"/>
      <c r="P220" s="1"/>
      <c r="Q220" s="9" t="s">
        <v>10</v>
      </c>
      <c r="R220" s="10" t="s">
        <v>11</v>
      </c>
      <c r="S220" s="1"/>
      <c r="T220" s="11"/>
      <c r="U220" s="23" t="s">
        <v>13</v>
      </c>
      <c r="V220" s="24"/>
      <c r="W220" s="26"/>
      <c r="X220" s="32" t="s">
        <v>12</v>
      </c>
      <c r="Y220" s="33"/>
      <c r="Z220" s="34"/>
      <c r="AA220" s="35"/>
      <c r="AB220" s="25"/>
      <c r="AC220" s="21"/>
      <c r="AD220" s="22"/>
      <c r="AE220" s="11"/>
      <c r="AF220" s="11"/>
      <c r="AG220" s="23" t="s">
        <v>44</v>
      </c>
      <c r="AH220" s="24"/>
      <c r="AI220" s="25"/>
      <c r="AJ220" s="17"/>
      <c r="AK220" s="17"/>
      <c r="AL220" s="23" t="s">
        <v>45</v>
      </c>
      <c r="AM220" s="24"/>
      <c r="AN220" s="26"/>
      <c r="AO220" s="27" t="s">
        <v>12</v>
      </c>
      <c r="AP220" s="28"/>
      <c r="AQ220" s="28"/>
      <c r="AR220" s="28"/>
      <c r="AS220" s="28"/>
      <c r="AT220" s="29"/>
    </row>
    <row r="221" spans="1:46" ht="15" thickBot="1" x14ac:dyDescent="0.35">
      <c r="A221" s="12" t="s">
        <v>14</v>
      </c>
      <c r="B221" s="12" t="s">
        <v>15</v>
      </c>
      <c r="C221" s="12" t="s">
        <v>16</v>
      </c>
      <c r="D221" s="12" t="s">
        <v>17</v>
      </c>
      <c r="E221" s="12" t="s">
        <v>18</v>
      </c>
      <c r="F221" s="12" t="s">
        <v>19</v>
      </c>
      <c r="G221" s="12" t="s">
        <v>20</v>
      </c>
      <c r="H221" s="12" t="s">
        <v>21</v>
      </c>
      <c r="I221" s="12" t="s">
        <v>22</v>
      </c>
      <c r="J221" s="12" t="s">
        <v>23</v>
      </c>
      <c r="K221" s="12" t="s">
        <v>24</v>
      </c>
      <c r="L221" s="12" t="s">
        <v>39</v>
      </c>
      <c r="M221" s="12" t="s">
        <v>40</v>
      </c>
      <c r="N221" s="12" t="s">
        <v>41</v>
      </c>
      <c r="O221" s="12" t="s">
        <v>42</v>
      </c>
      <c r="P221" s="12" t="s">
        <v>25</v>
      </c>
      <c r="Q221" s="12" t="s">
        <v>26</v>
      </c>
      <c r="R221" s="13" t="s">
        <v>27</v>
      </c>
      <c r="S221" s="12" t="s">
        <v>43</v>
      </c>
      <c r="T221" s="12" t="s">
        <v>31</v>
      </c>
      <c r="U221" s="12" t="s">
        <v>28</v>
      </c>
      <c r="V221" s="12" t="s">
        <v>29</v>
      </c>
      <c r="W221" s="13" t="s">
        <v>30</v>
      </c>
      <c r="X221" s="12" t="s">
        <v>28</v>
      </c>
      <c r="Y221" s="12" t="s">
        <v>29</v>
      </c>
      <c r="Z221" s="13" t="s">
        <v>30</v>
      </c>
      <c r="AA221" s="12" t="s">
        <v>50</v>
      </c>
      <c r="AB221" s="12" t="s">
        <v>48</v>
      </c>
      <c r="AC221" s="12" t="s">
        <v>49</v>
      </c>
      <c r="AD221" s="12" t="s">
        <v>46</v>
      </c>
      <c r="AE221" s="12" t="s">
        <v>47</v>
      </c>
      <c r="AF221" s="12" t="s">
        <v>32</v>
      </c>
      <c r="AG221" s="12" t="s">
        <v>33</v>
      </c>
      <c r="AH221" s="12" t="s">
        <v>34</v>
      </c>
      <c r="AI221" s="12"/>
      <c r="AJ221" s="12"/>
      <c r="AK221" s="12" t="s">
        <v>35</v>
      </c>
      <c r="AL221" s="12" t="s">
        <v>36</v>
      </c>
      <c r="AM221" s="13" t="s">
        <v>37</v>
      </c>
      <c r="AN221" s="12" t="s">
        <v>32</v>
      </c>
      <c r="AO221" s="12" t="s">
        <v>33</v>
      </c>
      <c r="AP221" s="12" t="s">
        <v>34</v>
      </c>
      <c r="AQ221" s="12" t="s">
        <v>35</v>
      </c>
      <c r="AR221" s="12" t="s">
        <v>36</v>
      </c>
      <c r="AS221" s="13" t="s">
        <v>37</v>
      </c>
      <c r="AT221" s="1"/>
    </row>
    <row r="222" spans="1:46" ht="15" thickBot="1" x14ac:dyDescent="0.35">
      <c r="A222" s="3" cm="1">
        <f t="array" ref="A222">INDEX(A:A, 14 + INT((ROW()-18)/8)*8)
 - $C$9 *
 INDEX(AN:AN, 18 + INT((ROW()-18)/8)*8)</f>
        <v>-5.9517619203975975</v>
      </c>
      <c r="B222" s="3" cm="1">
        <f t="array" ref="B222">INDEX(B:B, 14 + INT((ROW()-18)/8)*8)
 - $C$9 *
 INDEX(AO:AO, 18 + INT((ROW()-18)/8)*8)</f>
        <v>4.2094928697910801</v>
      </c>
      <c r="C222" s="3" cm="1">
        <f t="array" ref="C222">INDEX(C:C, 14 + INT((ROW()-18)/8)*8)
 - $C$9 *
 INDEX(AP:AP, 18 + INT((ROW()-18)/8)*8)</f>
        <v>2.9354574231199386</v>
      </c>
      <c r="D222" s="3" cm="1">
        <f t="array" ref="D222">INDEX(D:D, 14 + INT((ROW()-18)/8)*8)
 - $C$9 *
 INDEX(AQ:AQ, 18 + INT((ROW()-18)/8)*8)</f>
        <v>2.393364765221099</v>
      </c>
      <c r="E222" s="3" cm="1">
        <f t="array" ref="E222">INDEX(E:E, 14 + INT((ROW()-18)/8)*8)
 - $C$9 *
 INDEX(AR:AR, 18 + INT((ROW()-18)/8)*8)</f>
        <v>-5.5431423367057606</v>
      </c>
      <c r="F222" s="3" cm="1">
        <f t="array" ref="F222">INDEX(F:F, 14 + INT((ROW()-18)/8)*8)
 - $C$9 *
 INDEX(AS:AS, 18 + INT((ROW()-18)/8)*8)</f>
        <v>-5.3285890259334199</v>
      </c>
      <c r="G222" s="3" cm="1">
        <f t="array" ref="G222">INDEX(G:G, 14 + INT((ROW()-18)/8)*8)
 - $C$9 *
 INDEX(X:X, 18 + INT((ROW()-18)/8)*8)</f>
        <v>2.1313353098085006</v>
      </c>
      <c r="H222" s="3" cm="1">
        <f t="array" ref="H222">INDEX(H:H, 14 + INT((ROW()-18)/8)*8)
 - $C$9 *
 INDEX(Y:Y, 18 + INT((ROW()-18)/8)*8)</f>
        <v>-4.8020434275013386</v>
      </c>
      <c r="I222" s="3" cm="1">
        <f t="array" ref="I222">INDEX(I:I, 14 + INT((ROW()-18)/8)*8)
 - $C$9 *
 INDEX(Z:Z, 18 + INT((ROW()-18)/8)*8)</f>
        <v>-4.0158043417024842</v>
      </c>
      <c r="J222" s="3">
        <v>0</v>
      </c>
      <c r="K222" s="3">
        <v>0</v>
      </c>
      <c r="L222" s="1" cm="1">
        <f t="array" ref="L222">INDEX(B:B, 14 + INT((ROW()-14)/8)*8)*J222
+ INDEX(C:C, 14 + INT((ROW()-14)/8)*8)*K222
+ INDEX(A:A, 14 + INT((ROW()-14)/8)*8)</f>
        <v>-5.9517619203975975</v>
      </c>
      <c r="M222" s="1" cm="1">
        <f t="array" ref="M222">INDEX(E:E, 14 + INT((ROW()-14)/8)*8)*J222
+ INDEX(F:F, 14 + INT((ROW()-14)/8)*8)*K222
+ INDEX(D:D, 14 + INT((ROW()-14)/8)*8)</f>
        <v>2.393364765221099</v>
      </c>
      <c r="N222" s="1">
        <f>1/(1+EXP(-L222))</f>
        <v>2.5945043143593897E-3</v>
      </c>
      <c r="O222" s="1">
        <f>1/(1+EXP(-M222))</f>
        <v>0.91631993228533481</v>
      </c>
      <c r="P222" s="1" cm="1">
        <f t="array" ref="P222">INDEX(H:H, 14 + INT((ROW()-14)/8)*8)*N222
+ INDEX(I:I, 14 + INT((ROW()-14)/8)*8)*O222
+ INDEX(G:G, 14 + INT((ROW()-14)/8)*8)</f>
        <v>-1.5608851750418666</v>
      </c>
      <c r="Q222" s="1">
        <f>1/(1+EXP(-P222))</f>
        <v>0.17351966685417478</v>
      </c>
      <c r="R222" s="8">
        <f>($C$4-Q222)^2</f>
        <v>3.0109074785183799E-2</v>
      </c>
      <c r="S222" s="1">
        <f>2*(Q222-$C$4)</f>
        <v>0.34703933370834955</v>
      </c>
      <c r="T222" s="1">
        <f>Q222*(1-Q222)</f>
        <v>0.14341059206899098</v>
      </c>
      <c r="U222" s="1">
        <v>1</v>
      </c>
      <c r="V222" s="1">
        <f>N222</f>
        <v>2.5945043143593897E-3</v>
      </c>
      <c r="W222" s="8">
        <f>O222</f>
        <v>0.91631993228533481</v>
      </c>
      <c r="X222" s="1">
        <f>S222*T222*U222</f>
        <v>4.9769116318342549E-2</v>
      </c>
      <c r="Y222" s="1">
        <f>S222*T222*V222</f>
        <v>1.2912618700979404E-4</v>
      </c>
      <c r="Z222" s="8">
        <f>S222*T222*W222</f>
        <v>4.5604433294724599E-2</v>
      </c>
      <c r="AA222" s="1">
        <f>2*(Q222-$C$4)</f>
        <v>0.34703933370834955</v>
      </c>
      <c r="AB222" s="1" cm="1">
        <f t="array" ref="AB222">INDEX(H:H, 14 + INT((ROW()-14)/8)*8)</f>
        <v>-4.8020434275013386</v>
      </c>
      <c r="AC222" s="1" cm="1">
        <f t="array" ref="AC222">INDEX(I:I, 14 + INT((ROW()-14)/8)*8)</f>
        <v>-4.0158043417024842</v>
      </c>
      <c r="AD222" s="1">
        <f>N222*(1-N222)</f>
        <v>2.5877728617221601E-3</v>
      </c>
      <c r="AE222" s="1">
        <f xml:space="preserve"> O222*(1-O222)</f>
        <v>7.6677713981934237E-2</v>
      </c>
      <c r="AF222" s="1">
        <v>1</v>
      </c>
      <c r="AG222" s="1">
        <f>J222</f>
        <v>0</v>
      </c>
      <c r="AH222" s="1">
        <f>K222</f>
        <v>0</v>
      </c>
      <c r="AI222" s="1"/>
      <c r="AJ222" s="1"/>
      <c r="AK222" s="1">
        <v>1</v>
      </c>
      <c r="AL222" s="1">
        <f>J222</f>
        <v>0</v>
      </c>
      <c r="AM222" s="8">
        <f>K222</f>
        <v>0</v>
      </c>
      <c r="AN222" s="1">
        <f>S222*T222*AB222*AD222*AF222</f>
        <v>-6.1846078450616775E-4</v>
      </c>
      <c r="AO222" s="1">
        <f>S222*T222*AB222*AD222*AG222</f>
        <v>0</v>
      </c>
      <c r="AP222" s="1">
        <f>S222*T222*AB222*AD222*AH222</f>
        <v>0</v>
      </c>
      <c r="AQ222" s="1">
        <f>S222*T222*AC222*AE222*AK222</f>
        <v>-1.5325040510138926E-2</v>
      </c>
      <c r="AR222" s="1">
        <f>S222*T222*AC222*AE222*AL222</f>
        <v>0</v>
      </c>
      <c r="AS222" s="8">
        <f>S222*T222*AC222*AE222*AM222</f>
        <v>0</v>
      </c>
      <c r="AT222" s="1"/>
    </row>
    <row r="223" spans="1:4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3">
        <v>0</v>
      </c>
      <c r="K223" s="3">
        <v>1</v>
      </c>
      <c r="L223" s="1" cm="1">
        <f t="array" ref="L223">INDEX(B:B, 14 + INT((ROW()-14)/8)*8)*J223
+ INDEX(C:C, 14 + INT((ROW()-14)/8)*8)*K223
+ INDEX(A:A, 14 + INT((ROW()-14)/8)*8)</f>
        <v>-3.0163044972776589</v>
      </c>
      <c r="M223" s="1" cm="1">
        <f t="array" ref="M223">INDEX(E:E, 14 + INT((ROW()-14)/8)*8)*J223
+ INDEX(F:F, 14 + INT((ROW()-14)/8)*8)*K223
+ INDEX(D:D, 14 + INT((ROW()-14)/8)*8)</f>
        <v>-2.9352242607123209</v>
      </c>
      <c r="N223" s="1">
        <f t="shared" ref="N223:N225" si="546">1/(1+EXP(-L223))</f>
        <v>4.6694701957341385E-2</v>
      </c>
      <c r="O223" s="1">
        <f t="shared" ref="O223:O225" si="547">1/(1+EXP(-M223))</f>
        <v>5.0439518534374561E-2</v>
      </c>
      <c r="P223" s="1" cm="1">
        <f t="array" ref="P223">INDEX(H:H, 14 + INT((ROW()-14)/8)*8)*N223
+ INDEX(I:I, 14 + INT((ROW()-14)/8)*8)*O223
+ INDEX(G:G, 14 + INT((ROW()-14)/8)*8)</f>
        <v>1.7045500856513911</v>
      </c>
      <c r="Q223" s="1">
        <f t="shared" ref="Q223:Q225" si="548">1/(1+EXP(-P223))</f>
        <v>0.84612806838169008</v>
      </c>
      <c r="R223" s="8">
        <f>($C$5-Q223)^2</f>
        <v>2.3676571339949843E-2</v>
      </c>
      <c r="S223" s="1">
        <f>2*(Q223-$C$5)</f>
        <v>-0.30774386323661984</v>
      </c>
      <c r="T223" s="1">
        <f t="shared" ref="T223:T225" si="549">Q223*(1-Q223)</f>
        <v>0.13019536027836007</v>
      </c>
      <c r="U223" s="1">
        <v>1</v>
      </c>
      <c r="V223" s="1">
        <f t="shared" ref="V223:V225" si="550">N223</f>
        <v>4.6694701957341385E-2</v>
      </c>
      <c r="W223" s="8">
        <f t="shared" ref="W223:W225" si="551">O223</f>
        <v>5.0439518534374561E-2</v>
      </c>
      <c r="X223" s="1">
        <f t="shared" ref="X223:X225" si="552">S223*T223*U223</f>
        <v>-4.0066823147546088E-2</v>
      </c>
      <c r="Y223" s="1">
        <f t="shared" ref="Y223:Y225" si="553">S223*T223*V223</f>
        <v>-1.8709083652521715E-3</v>
      </c>
      <c r="Z223" s="8">
        <f t="shared" ref="Z223:Z225" si="554">S223*T223*W223</f>
        <v>-2.0209512687641585E-3</v>
      </c>
      <c r="AA223" s="1">
        <f>2*(Q223-$C$5)</f>
        <v>-0.30774386323661984</v>
      </c>
      <c r="AB223" s="1" cm="1">
        <f t="array" ref="AB223">INDEX(H:H, 14 + INT((ROW()-14)/8)*8)</f>
        <v>-4.8020434275013386</v>
      </c>
      <c r="AC223" s="1" cm="1">
        <f t="array" ref="AC223">INDEX(I:I, 14 + INT((ROW()-14)/8)*8)</f>
        <v>-4.0158043417024842</v>
      </c>
      <c r="AD223" s="1">
        <f t="shared" ref="AD223:AD225" si="555">N223*(1-N223)</f>
        <v>4.4514306766456443E-2</v>
      </c>
      <c r="AE223" s="1">
        <f t="shared" ref="AE223:AE225" si="556" xml:space="preserve"> O223*(1-O223)</f>
        <v>4.7895373504395045E-2</v>
      </c>
      <c r="AF223" s="1">
        <v>1</v>
      </c>
      <c r="AG223" s="1">
        <f t="shared" ref="AG223:AG225" si="557">J223</f>
        <v>0</v>
      </c>
      <c r="AH223" s="1">
        <f t="shared" ref="AH223:AH225" si="558">K223</f>
        <v>1</v>
      </c>
      <c r="AI223" s="1"/>
      <c r="AJ223" s="1"/>
      <c r="AK223" s="1">
        <v>1</v>
      </c>
      <c r="AL223" s="1">
        <f t="shared" ref="AL223:AL225" si="559">J223</f>
        <v>0</v>
      </c>
      <c r="AM223" s="8">
        <f t="shared" ref="AM223:AM225" si="560">K223</f>
        <v>1</v>
      </c>
      <c r="AN223" s="1">
        <f t="shared" ref="AN223:AN225" si="561">S223*T223*AB223*AD223*AF223</f>
        <v>8.5646694610836804E-3</v>
      </c>
      <c r="AO223" s="1">
        <f t="shared" ref="AO223:AO225" si="562">S223*T223*AB223*AD223*AG223</f>
        <v>0</v>
      </c>
      <c r="AP223" s="1">
        <f t="shared" ref="AP223:AP225" si="563">S223*T223*AB223*AD223*AH223</f>
        <v>8.5646694610836804E-3</v>
      </c>
      <c r="AQ223" s="1">
        <f t="shared" ref="AQ223:AQ225" si="564">S223*T223*AC223*AE223*AK223</f>
        <v>7.7063906152038562E-3</v>
      </c>
      <c r="AR223" s="1">
        <f t="shared" ref="AR223:AR225" si="565">S223*T223*AC223*AE223*AL223</f>
        <v>0</v>
      </c>
      <c r="AS223" s="8">
        <f t="shared" ref="AS223:AS225" si="566">S223*T223*AC223*AE223*AM223</f>
        <v>7.7063906152038562E-3</v>
      </c>
      <c r="AT223" s="1"/>
    </row>
    <row r="224" spans="1:4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3">
        <v>1</v>
      </c>
      <c r="K224" s="3">
        <v>0</v>
      </c>
      <c r="L224" s="1" cm="1">
        <f t="array" ref="L224">INDEX(B:B, 14 + INT((ROW()-14)/8)*8)*J224
+ INDEX(C:C, 14 + INT((ROW()-14)/8)*8)*K224
+ INDEX(A:A, 14 + INT((ROW()-14)/8)*8)</f>
        <v>-1.7422690506065175</v>
      </c>
      <c r="M224" s="1" cm="1">
        <f t="array" ref="M224">INDEX(E:E, 14 + INT((ROW()-14)/8)*8)*J224
+ INDEX(F:F, 14 + INT((ROW()-14)/8)*8)*K224
+ INDEX(D:D, 14 + INT((ROW()-14)/8)*8)</f>
        <v>-3.1497775714846616</v>
      </c>
      <c r="N224" s="1">
        <f t="shared" si="546"/>
        <v>0.14902495221883505</v>
      </c>
      <c r="O224" s="1">
        <f t="shared" si="547"/>
        <v>4.1100043398111311E-2</v>
      </c>
      <c r="P224" s="1" cm="1">
        <f t="array" ref="P224">INDEX(H:H, 14 + INT((ROW()-14)/8)*8)*N224
+ INDEX(I:I, 14 + INT((ROW()-14)/8)*8)*O224
+ INDEX(G:G, 14 + INT((ROW()-14)/8)*8)</f>
        <v>1.2506612847500467</v>
      </c>
      <c r="Q224" s="1">
        <f t="shared" si="548"/>
        <v>0.77741431173904141</v>
      </c>
      <c r="R224" s="8">
        <f>($C$6-Q224)^2</f>
        <v>4.9544388618604641E-2</v>
      </c>
      <c r="S224" s="1">
        <f>2*(Q224-$C$6)</f>
        <v>-0.44517137652191718</v>
      </c>
      <c r="T224" s="1">
        <f t="shared" si="549"/>
        <v>0.17304129964235396</v>
      </c>
      <c r="U224" s="1">
        <v>1</v>
      </c>
      <c r="V224" s="1">
        <f t="shared" si="550"/>
        <v>0.14902495221883505</v>
      </c>
      <c r="W224" s="8">
        <f t="shared" si="551"/>
        <v>4.1100043398111311E-2</v>
      </c>
      <c r="X224" s="1">
        <f t="shared" si="552"/>
        <v>-7.703303355692824E-2</v>
      </c>
      <c r="Y224" s="1">
        <f t="shared" si="553"/>
        <v>-1.1479844145093149E-2</v>
      </c>
      <c r="Z224" s="8">
        <f t="shared" si="554"/>
        <v>-3.1660610222779156E-3</v>
      </c>
      <c r="AA224" s="1">
        <f>2*(Q224-$C$6)</f>
        <v>-0.44517137652191718</v>
      </c>
      <c r="AB224" s="1" cm="1">
        <f t="array" ref="AB224">INDEX(H:H, 14 + INT((ROW()-14)/8)*8)</f>
        <v>-4.8020434275013386</v>
      </c>
      <c r="AC224" s="1" cm="1">
        <f t="array" ref="AC224">INDEX(I:I, 14 + INT((ROW()-14)/8)*8)</f>
        <v>-4.0158043417024842</v>
      </c>
      <c r="AD224" s="1">
        <f t="shared" si="555"/>
        <v>0.12681651583500897</v>
      </c>
      <c r="AE224" s="1">
        <f t="shared" si="556"/>
        <v>3.9410829830784679E-2</v>
      </c>
      <c r="AF224" s="1">
        <v>1</v>
      </c>
      <c r="AG224" s="1">
        <f t="shared" si="557"/>
        <v>1</v>
      </c>
      <c r="AH224" s="1">
        <f t="shared" si="558"/>
        <v>0</v>
      </c>
      <c r="AI224" s="1"/>
      <c r="AJ224" s="1"/>
      <c r="AK224" s="1">
        <v>1</v>
      </c>
      <c r="AL224" s="1">
        <f t="shared" si="559"/>
        <v>1</v>
      </c>
      <c r="AM224" s="8">
        <f t="shared" si="560"/>
        <v>0</v>
      </c>
      <c r="AN224" s="1">
        <f t="shared" si="561"/>
        <v>4.6911454783222603E-2</v>
      </c>
      <c r="AO224" s="1">
        <f t="shared" si="562"/>
        <v>4.6911454783222603E-2</v>
      </c>
      <c r="AP224" s="1">
        <f t="shared" si="563"/>
        <v>0</v>
      </c>
      <c r="AQ224" s="1">
        <f t="shared" si="564"/>
        <v>1.2191724073849211E-2</v>
      </c>
      <c r="AR224" s="1">
        <f t="shared" si="565"/>
        <v>1.2191724073849211E-2</v>
      </c>
      <c r="AS224" s="8">
        <f t="shared" si="566"/>
        <v>0</v>
      </c>
      <c r="AT224" s="1"/>
    </row>
    <row r="225" spans="1:4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3">
        <v>1</v>
      </c>
      <c r="K225" s="3">
        <v>1</v>
      </c>
      <c r="L225" s="1" cm="1">
        <f t="array" ref="L225">INDEX(B:B, 14 + INT((ROW()-14)/8)*8)*J225
+ INDEX(C:C, 14 + INT((ROW()-14)/8)*8)*K225
+ INDEX(A:A, 14 + INT((ROW()-14)/8)*8)</f>
        <v>1.1931883725134211</v>
      </c>
      <c r="M225" s="1" cm="1">
        <f t="array" ref="M225">INDEX(E:E, 14 + INT((ROW()-14)/8)*8)*J225
+ INDEX(F:F, 14 + INT((ROW()-14)/8)*8)*K225
+ INDEX(D:D, 14 + INT((ROW()-14)/8)*8)</f>
        <v>-8.4783665974180824</v>
      </c>
      <c r="N225" s="1">
        <f t="shared" si="546"/>
        <v>0.76731081707641269</v>
      </c>
      <c r="O225" s="1">
        <f t="shared" si="547"/>
        <v>2.0787481844323748E-4</v>
      </c>
      <c r="P225" s="1" cm="1">
        <f t="array" ref="P225">INDEX(H:H, 14 + INT((ROW()-14)/8)*8)*N225
+ INDEX(I:I, 14 + INT((ROW()-14)/8)*8)*O225
+ INDEX(G:G, 14 + INT((ROW()-14)/8)*8)</f>
        <v>-1.5541593407824039</v>
      </c>
      <c r="Q225" s="1">
        <f t="shared" si="548"/>
        <v>0.17448634175898708</v>
      </c>
      <c r="R225" s="8">
        <f>($C$7-Q225)^2</f>
        <v>3.044548346043404E-2</v>
      </c>
      <c r="S225" s="1">
        <f>2*(Q225-$C$7)</f>
        <v>0.34897268351797417</v>
      </c>
      <c r="T225" s="1">
        <f t="shared" si="549"/>
        <v>0.14404085829855306</v>
      </c>
      <c r="U225" s="1">
        <v>1</v>
      </c>
      <c r="V225" s="1">
        <f t="shared" si="550"/>
        <v>0.76731081707641269</v>
      </c>
      <c r="W225" s="8">
        <f t="shared" si="551"/>
        <v>2.0787481844323748E-4</v>
      </c>
      <c r="X225" s="1">
        <f t="shared" si="552"/>
        <v>5.026632485667832E-2</v>
      </c>
      <c r="Y225" s="1">
        <f t="shared" si="553"/>
        <v>3.8569894797206232E-2</v>
      </c>
      <c r="Z225" s="8">
        <f t="shared" si="554"/>
        <v>1.04491031533908E-5</v>
      </c>
      <c r="AA225" s="1">
        <f>2*(Q225-$C$7)</f>
        <v>0.34897268351797417</v>
      </c>
      <c r="AB225" s="1" cm="1">
        <f t="array" ref="AB225">INDEX(H:H, 14 + INT((ROW()-14)/8)*8)</f>
        <v>-4.8020434275013386</v>
      </c>
      <c r="AC225" s="1" cm="1">
        <f t="array" ref="AC225">INDEX(I:I, 14 + INT((ROW()-14)/8)*8)</f>
        <v>-4.0158043417024842</v>
      </c>
      <c r="AD225" s="1">
        <f t="shared" si="555"/>
        <v>0.17854492707394062</v>
      </c>
      <c r="AE225" s="1">
        <f t="shared" si="556"/>
        <v>2.0783160650309469E-4</v>
      </c>
      <c r="AF225" s="1">
        <v>1</v>
      </c>
      <c r="AG225" s="1">
        <f t="shared" si="557"/>
        <v>1</v>
      </c>
      <c r="AH225" s="1">
        <f t="shared" si="558"/>
        <v>1</v>
      </c>
      <c r="AI225" s="1"/>
      <c r="AJ225" s="1"/>
      <c r="AK225" s="1">
        <v>1</v>
      </c>
      <c r="AL225" s="1">
        <f t="shared" si="559"/>
        <v>1</v>
      </c>
      <c r="AM225" s="8">
        <f t="shared" si="560"/>
        <v>1</v>
      </c>
      <c r="AN225" s="1">
        <f t="shared" si="561"/>
        <v>-4.3097366415524703E-2</v>
      </c>
      <c r="AO225" s="1">
        <f t="shared" si="562"/>
        <v>-4.3097366415524703E-2</v>
      </c>
      <c r="AP225" s="1">
        <f t="shared" si="563"/>
        <v>-4.3097366415524703E-2</v>
      </c>
      <c r="AQ225" s="1">
        <f t="shared" si="564"/>
        <v>-4.1952831059903994E-5</v>
      </c>
      <c r="AR225" s="1">
        <f t="shared" si="565"/>
        <v>-4.1952831059903994E-5</v>
      </c>
      <c r="AS225" s="8">
        <f t="shared" si="566"/>
        <v>-4.1952831059903994E-5</v>
      </c>
      <c r="AT225" s="1"/>
    </row>
    <row r="226" spans="1:4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6">
        <f>SUM(R222:R225)</f>
        <v>0.13377551820417233</v>
      </c>
      <c r="S226" s="1"/>
      <c r="T226" s="1"/>
      <c r="U226" s="1"/>
      <c r="V226" s="1"/>
      <c r="W226" s="1"/>
      <c r="X226" s="1">
        <f>AVERAGE(X222:X225)</f>
        <v>-4.2661038823633649E-3</v>
      </c>
      <c r="Y226" s="1">
        <f>AVERAGE(Y222:Y225)</f>
        <v>6.3370671184676767E-3</v>
      </c>
      <c r="Z226" s="1">
        <f>AVERAGE(Z222:Z225)</f>
        <v>1.010696752670898E-2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>
        <f>AVERAGE(AN222:AN225)</f>
        <v>2.9400742610688532E-3</v>
      </c>
      <c r="AO226" s="1">
        <f>AVERAGE(AO222:AO225)</f>
        <v>9.5352209192447503E-4</v>
      </c>
      <c r="AP226" s="1">
        <f xml:space="preserve"> AVERAGE(AP222:AP225)</f>
        <v>-8.6331742386102552E-3</v>
      </c>
      <c r="AQ226" s="1">
        <f>AVERAGE(AQ222:AQ225)</f>
        <v>1.1327803369635594E-3</v>
      </c>
      <c r="AR226" s="1">
        <f>AVERAGE(AR222:AR225)</f>
        <v>3.0374428106973266E-3</v>
      </c>
      <c r="AS226" s="1">
        <f>AVERAGE(AS222:AS225)</f>
        <v>1.9161094460359881E-3</v>
      </c>
      <c r="AT226" s="1"/>
    </row>
    <row r="227" spans="1:4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8"/>
      <c r="S227" s="1"/>
      <c r="T227" s="1"/>
      <c r="U227" s="1"/>
      <c r="V227" s="1"/>
      <c r="W227" s="8"/>
      <c r="X227" s="1"/>
      <c r="Y227" s="1"/>
      <c r="Z227" s="8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8"/>
      <c r="AM227" s="1"/>
      <c r="AN227" s="1"/>
      <c r="AO227" s="1"/>
      <c r="AP227" s="1"/>
      <c r="AQ227" s="1"/>
      <c r="AR227" s="8"/>
      <c r="AS227" s="1"/>
    </row>
    <row r="228" spans="1:46" ht="15" thickBot="1" x14ac:dyDescent="0.35">
      <c r="A228" s="1" t="s">
        <v>38</v>
      </c>
      <c r="B228" s="1">
        <v>27</v>
      </c>
      <c r="C228" s="1"/>
      <c r="D228" s="1"/>
      <c r="E228" s="1"/>
      <c r="F228" s="1"/>
      <c r="G228" s="1"/>
      <c r="H228" s="1"/>
      <c r="I228" s="1"/>
      <c r="J228" s="30" t="s">
        <v>7</v>
      </c>
      <c r="K228" s="31"/>
      <c r="L228" s="30" t="s">
        <v>8</v>
      </c>
      <c r="M228" s="31"/>
      <c r="N228" s="30" t="s">
        <v>9</v>
      </c>
      <c r="O228" s="31"/>
      <c r="P228" s="1"/>
      <c r="Q228" s="9" t="s">
        <v>10</v>
      </c>
      <c r="R228" s="10" t="s">
        <v>11</v>
      </c>
      <c r="S228" s="1"/>
      <c r="T228" s="11"/>
      <c r="U228" s="23" t="s">
        <v>13</v>
      </c>
      <c r="V228" s="24"/>
      <c r="W228" s="26"/>
      <c r="X228" s="32" t="s">
        <v>12</v>
      </c>
      <c r="Y228" s="33"/>
      <c r="Z228" s="34"/>
      <c r="AA228" s="35"/>
      <c r="AB228" s="25"/>
      <c r="AC228" s="21"/>
      <c r="AD228" s="22"/>
      <c r="AE228" s="11"/>
      <c r="AF228" s="11"/>
      <c r="AG228" s="23" t="s">
        <v>44</v>
      </c>
      <c r="AH228" s="24"/>
      <c r="AI228" s="25"/>
      <c r="AJ228" s="17"/>
      <c r="AK228" s="17"/>
      <c r="AL228" s="23" t="s">
        <v>45</v>
      </c>
      <c r="AM228" s="24"/>
      <c r="AN228" s="26"/>
      <c r="AO228" s="27" t="s">
        <v>12</v>
      </c>
      <c r="AP228" s="28"/>
      <c r="AQ228" s="28"/>
      <c r="AR228" s="28"/>
      <c r="AS228" s="28"/>
      <c r="AT228" s="29"/>
    </row>
    <row r="229" spans="1:46" ht="15" thickBot="1" x14ac:dyDescent="0.35">
      <c r="A229" s="12" t="s">
        <v>14</v>
      </c>
      <c r="B229" s="12" t="s">
        <v>15</v>
      </c>
      <c r="C229" s="12" t="s">
        <v>16</v>
      </c>
      <c r="D229" s="12" t="s">
        <v>17</v>
      </c>
      <c r="E229" s="12" t="s">
        <v>18</v>
      </c>
      <c r="F229" s="12" t="s">
        <v>19</v>
      </c>
      <c r="G229" s="12" t="s">
        <v>20</v>
      </c>
      <c r="H229" s="12" t="s">
        <v>21</v>
      </c>
      <c r="I229" s="12" t="s">
        <v>22</v>
      </c>
      <c r="J229" s="12" t="s">
        <v>23</v>
      </c>
      <c r="K229" s="12" t="s">
        <v>24</v>
      </c>
      <c r="L229" s="12" t="s">
        <v>39</v>
      </c>
      <c r="M229" s="12" t="s">
        <v>40</v>
      </c>
      <c r="N229" s="12" t="s">
        <v>41</v>
      </c>
      <c r="O229" s="12" t="s">
        <v>42</v>
      </c>
      <c r="P229" s="12" t="s">
        <v>25</v>
      </c>
      <c r="Q229" s="12" t="s">
        <v>26</v>
      </c>
      <c r="R229" s="13" t="s">
        <v>27</v>
      </c>
      <c r="S229" s="12" t="s">
        <v>43</v>
      </c>
      <c r="T229" s="12" t="s">
        <v>31</v>
      </c>
      <c r="U229" s="12" t="s">
        <v>28</v>
      </c>
      <c r="V229" s="12" t="s">
        <v>29</v>
      </c>
      <c r="W229" s="13" t="s">
        <v>30</v>
      </c>
      <c r="X229" s="12" t="s">
        <v>28</v>
      </c>
      <c r="Y229" s="12" t="s">
        <v>29</v>
      </c>
      <c r="Z229" s="13" t="s">
        <v>30</v>
      </c>
      <c r="AA229" s="12" t="s">
        <v>50</v>
      </c>
      <c r="AB229" s="12" t="s">
        <v>48</v>
      </c>
      <c r="AC229" s="12" t="s">
        <v>49</v>
      </c>
      <c r="AD229" s="12" t="s">
        <v>46</v>
      </c>
      <c r="AE229" s="12" t="s">
        <v>47</v>
      </c>
      <c r="AF229" s="12" t="s">
        <v>32</v>
      </c>
      <c r="AG229" s="12" t="s">
        <v>33</v>
      </c>
      <c r="AH229" s="12" t="s">
        <v>34</v>
      </c>
      <c r="AI229" s="12"/>
      <c r="AJ229" s="12"/>
      <c r="AK229" s="12" t="s">
        <v>35</v>
      </c>
      <c r="AL229" s="12" t="s">
        <v>36</v>
      </c>
      <c r="AM229" s="13" t="s">
        <v>37</v>
      </c>
      <c r="AN229" s="12" t="s">
        <v>32</v>
      </c>
      <c r="AO229" s="12" t="s">
        <v>33</v>
      </c>
      <c r="AP229" s="12" t="s">
        <v>34</v>
      </c>
      <c r="AQ229" s="12" t="s">
        <v>35</v>
      </c>
      <c r="AR229" s="12" t="s">
        <v>36</v>
      </c>
      <c r="AS229" s="13" t="s">
        <v>37</v>
      </c>
      <c r="AT229" s="1"/>
    </row>
    <row r="230" spans="1:46" ht="15" thickBot="1" x14ac:dyDescent="0.35">
      <c r="A230" s="3" cm="1">
        <f t="array" ref="A230">INDEX(A:A, 14 + INT((ROW()-18)/8)*8)
 - $C$9 *
 INDEX(AN:AN, 18 + INT((ROW()-18)/8)*8)</f>
        <v>-5.9664622917029417</v>
      </c>
      <c r="B230" s="3" cm="1">
        <f t="array" ref="B230">INDEX(B:B, 14 + INT((ROW()-18)/8)*8)
 - $C$9 *
 INDEX(AO:AO, 18 + INT((ROW()-18)/8)*8)</f>
        <v>4.2047252593314575</v>
      </c>
      <c r="C230" s="3" cm="1">
        <f t="array" ref="C230">INDEX(C:C, 14 + INT((ROW()-18)/8)*8)
 - $C$9 *
 INDEX(AP:AP, 18 + INT((ROW()-18)/8)*8)</f>
        <v>2.9786232943129898</v>
      </c>
      <c r="D230" s="3" cm="1">
        <f t="array" ref="D230">INDEX(D:D, 14 + INT((ROW()-18)/8)*8)
 - $C$9 *
 INDEX(AQ:AQ, 18 + INT((ROW()-18)/8)*8)</f>
        <v>2.3877008635362813</v>
      </c>
      <c r="E230" s="3" cm="1">
        <f t="array" ref="E230">INDEX(E:E, 14 + INT((ROW()-18)/8)*8)
 - $C$9 *
 INDEX(AR:AR, 18 + INT((ROW()-18)/8)*8)</f>
        <v>-5.5583295507592476</v>
      </c>
      <c r="F230" s="3" cm="1">
        <f t="array" ref="F230">INDEX(F:F, 14 + INT((ROW()-18)/8)*8)
 - $C$9 *
 INDEX(AS:AS, 18 + INT((ROW()-18)/8)*8)</f>
        <v>-5.3381695731635999</v>
      </c>
      <c r="G230" s="3" cm="1">
        <f t="array" ref="G230">INDEX(G:G, 14 + INT((ROW()-18)/8)*8)
 - $C$9 *
 INDEX(X:X, 18 + INT((ROW()-18)/8)*8)</f>
        <v>2.1526658292203176</v>
      </c>
      <c r="H230" s="3" cm="1">
        <f t="array" ref="H230">INDEX(H:H, 14 + INT((ROW()-18)/8)*8)
 - $C$9 *
 INDEX(Y:Y, 18 + INT((ROW()-18)/8)*8)</f>
        <v>-4.8337287630936769</v>
      </c>
      <c r="I230" s="3" cm="1">
        <f t="array" ref="I230">INDEX(I:I, 14 + INT((ROW()-18)/8)*8)
 - $C$9 *
 INDEX(Z:Z, 18 + INT((ROW()-18)/8)*8)</f>
        <v>-4.0663391793360288</v>
      </c>
      <c r="J230" s="3">
        <v>0</v>
      </c>
      <c r="K230" s="3">
        <v>0</v>
      </c>
      <c r="L230" s="1" cm="1">
        <f t="array" ref="L230">INDEX(B:B, 14 + INT((ROW()-14)/8)*8)*J230
+ INDEX(C:C, 14 + INT((ROW()-14)/8)*8)*K230
+ INDEX(A:A, 14 + INT((ROW()-14)/8)*8)</f>
        <v>-5.9664622917029417</v>
      </c>
      <c r="M230" s="1" cm="1">
        <f t="array" ref="M230">INDEX(E:E, 14 + INT((ROW()-14)/8)*8)*J230
+ INDEX(F:F, 14 + INT((ROW()-14)/8)*8)*K230
+ INDEX(D:D, 14 + INT((ROW()-14)/8)*8)</f>
        <v>2.3877008635362813</v>
      </c>
      <c r="N230" s="1">
        <f>1/(1+EXP(-L230))</f>
        <v>2.5567399075724379E-3</v>
      </c>
      <c r="O230" s="1">
        <f>1/(1+EXP(-M230))</f>
        <v>0.91588461193238468</v>
      </c>
      <c r="P230" s="1" cm="1">
        <f t="array" ref="P230">INDEX(H:H, 14 + INT((ROW()-14)/8)*8)*N230
+ INDEX(I:I, 14 + INT((ROW()-14)/8)*8)*O230
+ INDEX(G:G, 14 + INT((ROW()-14)/8)*8)</f>
        <v>-1.5839902392622953</v>
      </c>
      <c r="Q230" s="1">
        <f>1/(1+EXP(-P230))</f>
        <v>0.17023110895148011</v>
      </c>
      <c r="R230" s="8">
        <f>($C$4-Q230)^2</f>
        <v>2.897863045485069E-2</v>
      </c>
      <c r="S230" s="1">
        <f>2*(Q230-$C$4)</f>
        <v>0.34046221790296022</v>
      </c>
      <c r="T230" s="1">
        <f>Q230*(1-Q230)</f>
        <v>0.14125247849662942</v>
      </c>
      <c r="U230" s="1">
        <v>1</v>
      </c>
      <c r="V230" s="1">
        <f>N230</f>
        <v>2.5567399075724379E-3</v>
      </c>
      <c r="W230" s="8">
        <f>O230</f>
        <v>0.91588461193238468</v>
      </c>
      <c r="X230" s="1">
        <f>S230*T230*U230</f>
        <v>4.8091132113252645E-2</v>
      </c>
      <c r="Y230" s="1">
        <f>S230*T230*V230</f>
        <v>1.2295651667429148E-4</v>
      </c>
      <c r="Z230" s="8">
        <f>S230*T230*W230</f>
        <v>4.4045927872935445E-2</v>
      </c>
      <c r="AA230" s="1">
        <f>2*(Q230-$C$4)</f>
        <v>0.34046221790296022</v>
      </c>
      <c r="AB230" s="1" cm="1">
        <f t="array" ref="AB230">INDEX(H:H, 14 + INT((ROW()-14)/8)*8)</f>
        <v>-4.8337287630936769</v>
      </c>
      <c r="AC230" s="1" cm="1">
        <f t="array" ref="AC230">INDEX(I:I, 14 + INT((ROW()-14)/8)*8)</f>
        <v>-4.0663391793360288</v>
      </c>
      <c r="AD230" s="1">
        <f>N230*(1-N230)</f>
        <v>2.5502029886174645E-3</v>
      </c>
      <c r="AE230" s="1">
        <f xml:space="preserve"> O230*(1-O230)</f>
        <v>7.7039989557849797E-2</v>
      </c>
      <c r="AF230" s="1">
        <v>1</v>
      </c>
      <c r="AG230" s="1">
        <f>J230</f>
        <v>0</v>
      </c>
      <c r="AH230" s="1">
        <f>K230</f>
        <v>0</v>
      </c>
      <c r="AI230" s="1"/>
      <c r="AJ230" s="1"/>
      <c r="AK230" s="1">
        <v>1</v>
      </c>
      <c r="AL230" s="1">
        <f>J230</f>
        <v>0</v>
      </c>
      <c r="AM230" s="8">
        <f>K230</f>
        <v>0</v>
      </c>
      <c r="AN230" s="1">
        <f>S230*T230*AB230*AD230*AF230</f>
        <v>-5.9281888242139296E-4</v>
      </c>
      <c r="AO230" s="1">
        <f>S230*T230*AB230*AD230*AG230</f>
        <v>0</v>
      </c>
      <c r="AP230" s="1">
        <f>S230*T230*AB230*AD230*AH230</f>
        <v>0</v>
      </c>
      <c r="AQ230" s="1">
        <f>S230*T230*AC230*AE230*AK230</f>
        <v>-1.5065543963361775E-2</v>
      </c>
      <c r="AR230" s="1">
        <f>S230*T230*AC230*AE230*AL230</f>
        <v>0</v>
      </c>
      <c r="AS230" s="8">
        <f>S230*T230*AC230*AE230*AM230</f>
        <v>0</v>
      </c>
      <c r="AT230" s="1"/>
    </row>
    <row r="231" spans="1:4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3">
        <v>0</v>
      </c>
      <c r="K231" s="3">
        <v>1</v>
      </c>
      <c r="L231" s="1" cm="1">
        <f t="array" ref="L231">INDEX(B:B, 14 + INT((ROW()-14)/8)*8)*J231
+ INDEX(C:C, 14 + INT((ROW()-14)/8)*8)*K231
+ INDEX(A:A, 14 + INT((ROW()-14)/8)*8)</f>
        <v>-2.987838997389952</v>
      </c>
      <c r="M231" s="1" cm="1">
        <f t="array" ref="M231">INDEX(E:E, 14 + INT((ROW()-14)/8)*8)*J231
+ INDEX(F:F, 14 + INT((ROW()-14)/8)*8)*K231
+ INDEX(D:D, 14 + INT((ROW()-14)/8)*8)</f>
        <v>-2.9504687096273186</v>
      </c>
      <c r="N231" s="1">
        <f t="shared" ref="N231:N233" si="567">1/(1+EXP(-L231))</f>
        <v>4.7978300269728193E-2</v>
      </c>
      <c r="O231" s="1">
        <f t="shared" ref="O231:O233" si="568">1/(1+EXP(-M231))</f>
        <v>4.9714363707962651E-2</v>
      </c>
      <c r="P231" s="1" cm="1">
        <f t="array" ref="P231">INDEX(H:H, 14 + INT((ROW()-14)/8)*8)*N231
+ INDEX(I:I, 14 + INT((ROW()-14)/8)*8)*O231
+ INDEX(G:G, 14 + INT((ROW()-14)/8)*8)</f>
        <v>1.7185962742807375</v>
      </c>
      <c r="Q231" s="1">
        <f t="shared" ref="Q231:Q233" si="569">1/(1+EXP(-P231))</f>
        <v>0.84794793923792611</v>
      </c>
      <c r="R231" s="8">
        <f>($C$5-Q231)^2</f>
        <v>2.3119829181993411E-2</v>
      </c>
      <c r="S231" s="1">
        <f>2*(Q231-$C$5)</f>
        <v>-0.30410412152414779</v>
      </c>
      <c r="T231" s="1">
        <f t="shared" ref="T231:T233" si="570">Q231*(1-Q231)</f>
        <v>0.12893223158008049</v>
      </c>
      <c r="U231" s="1">
        <v>1</v>
      </c>
      <c r="V231" s="1">
        <f t="shared" ref="V231:V233" si="571">N231</f>
        <v>4.7978300269728193E-2</v>
      </c>
      <c r="W231" s="8">
        <f t="shared" ref="W231:W233" si="572">O231</f>
        <v>4.9714363707962651E-2</v>
      </c>
      <c r="X231" s="1">
        <f t="shared" ref="X231:X233" si="573">S231*T231*U231</f>
        <v>-3.9208823020808366E-2</v>
      </c>
      <c r="Y231" s="1">
        <f t="shared" ref="Y231:Y233" si="574">S231*T231*V231</f>
        <v>-1.8811726841149749E-3</v>
      </c>
      <c r="Z231" s="8">
        <f t="shared" ref="Z231:Z233" si="575">S231*T231*W231</f>
        <v>-1.9492416882176059E-3</v>
      </c>
      <c r="AA231" s="1">
        <f>2*(Q231-$C$5)</f>
        <v>-0.30410412152414779</v>
      </c>
      <c r="AB231" s="1" cm="1">
        <f t="array" ref="AB231">INDEX(H:H, 14 + INT((ROW()-14)/8)*8)</f>
        <v>-4.8337287630936769</v>
      </c>
      <c r="AC231" s="1" cm="1">
        <f t="array" ref="AC231">INDEX(I:I, 14 + INT((ROW()-14)/8)*8)</f>
        <v>-4.0663391793360288</v>
      </c>
      <c r="AD231" s="1">
        <f t="shared" ref="AD231:AD233" si="576">N231*(1-N231)</f>
        <v>4.5676382972955995E-2</v>
      </c>
      <c r="AE231" s="1">
        <f t="shared" ref="AE231:AE233" si="577" xml:space="preserve"> O231*(1-O231)</f>
        <v>4.7242845749075058E-2</v>
      </c>
      <c r="AF231" s="1">
        <v>1</v>
      </c>
      <c r="AG231" s="1">
        <f t="shared" ref="AG231:AG233" si="578">J231</f>
        <v>0</v>
      </c>
      <c r="AH231" s="1">
        <f t="shared" ref="AH231:AH233" si="579">K231</f>
        <v>1</v>
      </c>
      <c r="AI231" s="1"/>
      <c r="AJ231" s="1"/>
      <c r="AK231" s="1">
        <v>1</v>
      </c>
      <c r="AL231" s="1">
        <f t="shared" ref="AL231:AL233" si="580">J231</f>
        <v>0</v>
      </c>
      <c r="AM231" s="8">
        <f t="shared" ref="AM231:AM233" si="581">K231</f>
        <v>1</v>
      </c>
      <c r="AN231" s="1">
        <f t="shared" ref="AN231:AN233" si="582">S231*T231*AB231*AD231*AF231</f>
        <v>8.6568080603492033E-3</v>
      </c>
      <c r="AO231" s="1">
        <f t="shared" ref="AO231:AO233" si="583">S231*T231*AB231*AD231*AG231</f>
        <v>0</v>
      </c>
      <c r="AP231" s="1">
        <f t="shared" ref="AP231:AP233" si="584">S231*T231*AB231*AD231*AH231</f>
        <v>8.6568080603492033E-3</v>
      </c>
      <c r="AQ231" s="1">
        <f t="shared" ref="AQ231:AQ233" si="585">S231*T231*AC231*AE231*AK231</f>
        <v>7.5322279870684537E-3</v>
      </c>
      <c r="AR231" s="1">
        <f t="shared" ref="AR231:AR233" si="586">S231*T231*AC231*AE231*AL231</f>
        <v>0</v>
      </c>
      <c r="AS231" s="8">
        <f t="shared" ref="AS231:AS233" si="587">S231*T231*AC231*AE231*AM231</f>
        <v>7.5322279870684537E-3</v>
      </c>
      <c r="AT231" s="1"/>
    </row>
    <row r="232" spans="1:4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3">
        <v>1</v>
      </c>
      <c r="K232" s="3">
        <v>0</v>
      </c>
      <c r="L232" s="1" cm="1">
        <f t="array" ref="L232">INDEX(B:B, 14 + INT((ROW()-14)/8)*8)*J232
+ INDEX(C:C, 14 + INT((ROW()-14)/8)*8)*K232
+ INDEX(A:A, 14 + INT((ROW()-14)/8)*8)</f>
        <v>-1.7617370323714843</v>
      </c>
      <c r="M232" s="1" cm="1">
        <f t="array" ref="M232">INDEX(E:E, 14 + INT((ROW()-14)/8)*8)*J232
+ INDEX(F:F, 14 + INT((ROW()-14)/8)*8)*K232
+ INDEX(D:D, 14 + INT((ROW()-14)/8)*8)</f>
        <v>-3.1706286872229663</v>
      </c>
      <c r="N232" s="1">
        <f t="shared" si="567"/>
        <v>0.14657292221566753</v>
      </c>
      <c r="O232" s="1">
        <f t="shared" si="568"/>
        <v>4.0286101379635765E-2</v>
      </c>
      <c r="P232" s="1" cm="1">
        <f t="array" ref="P232">INDEX(H:H, 14 + INT((ROW()-14)/8)*8)*N232
+ INDEX(I:I, 14 + INT((ROW()-14)/8)*8)*O232
+ INDEX(G:G, 14 + INT((ROW()-14)/8)*8)</f>
        <v>1.2803551267930371</v>
      </c>
      <c r="Q232" s="1">
        <f t="shared" si="569"/>
        <v>0.78251022079650379</v>
      </c>
      <c r="R232" s="8">
        <f>($C$6-Q232)^2</f>
        <v>4.7301804057985536E-2</v>
      </c>
      <c r="S232" s="1">
        <f>2*(Q232-$C$6)</f>
        <v>-0.43497955840699243</v>
      </c>
      <c r="T232" s="1">
        <f t="shared" si="570"/>
        <v>0.17018797514551068</v>
      </c>
      <c r="U232" s="1">
        <v>1</v>
      </c>
      <c r="V232" s="1">
        <f t="shared" si="571"/>
        <v>0.14657292221566753</v>
      </c>
      <c r="W232" s="8">
        <f t="shared" si="572"/>
        <v>4.0286101379635765E-2</v>
      </c>
      <c r="X232" s="1">
        <f t="shared" si="573"/>
        <v>-7.4028290274974443E-2</v>
      </c>
      <c r="Y232" s="1">
        <f t="shared" si="574"/>
        <v>-1.0850542832232687E-2</v>
      </c>
      <c r="Z232" s="8">
        <f t="shared" si="575"/>
        <v>-2.9823112069787246E-3</v>
      </c>
      <c r="AA232" s="1">
        <f>2*(Q232-$C$6)</f>
        <v>-0.43497955840699243</v>
      </c>
      <c r="AB232" s="1" cm="1">
        <f t="array" ref="AB232">INDEX(H:H, 14 + INT((ROW()-14)/8)*8)</f>
        <v>-4.8337287630936769</v>
      </c>
      <c r="AC232" s="1" cm="1">
        <f t="array" ref="AC232">INDEX(I:I, 14 + INT((ROW()-14)/8)*8)</f>
        <v>-4.0663391793360288</v>
      </c>
      <c r="AD232" s="1">
        <f t="shared" si="576"/>
        <v>0.1250893006888274</v>
      </c>
      <c r="AE232" s="1">
        <f t="shared" si="577"/>
        <v>3.8663131415265478E-2</v>
      </c>
      <c r="AF232" s="1">
        <v>1</v>
      </c>
      <c r="AG232" s="1">
        <f t="shared" si="578"/>
        <v>1</v>
      </c>
      <c r="AH232" s="1">
        <f t="shared" si="579"/>
        <v>0</v>
      </c>
      <c r="AI232" s="1"/>
      <c r="AJ232" s="1"/>
      <c r="AK232" s="1">
        <v>1</v>
      </c>
      <c r="AL232" s="1">
        <f t="shared" si="580"/>
        <v>1</v>
      </c>
      <c r="AM232" s="8">
        <f t="shared" si="581"/>
        <v>0</v>
      </c>
      <c r="AN232" s="1">
        <f t="shared" si="582"/>
        <v>4.4761039202549383E-2</v>
      </c>
      <c r="AO232" s="1">
        <f t="shared" si="583"/>
        <v>4.4761039202549383E-2</v>
      </c>
      <c r="AP232" s="1">
        <f t="shared" si="584"/>
        <v>0</v>
      </c>
      <c r="AQ232" s="1">
        <f t="shared" si="585"/>
        <v>1.1638535772807145E-2</v>
      </c>
      <c r="AR232" s="1">
        <f t="shared" si="586"/>
        <v>1.1638535772807145E-2</v>
      </c>
      <c r="AS232" s="8">
        <f t="shared" si="587"/>
        <v>0</v>
      </c>
      <c r="AT232" s="1"/>
    </row>
    <row r="233" spans="1:4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3">
        <v>1</v>
      </c>
      <c r="K233" s="3">
        <v>1</v>
      </c>
      <c r="L233" s="1" cm="1">
        <f t="array" ref="L233">INDEX(B:B, 14 + INT((ROW()-14)/8)*8)*J233
+ INDEX(C:C, 14 + INT((ROW()-14)/8)*8)*K233
+ INDEX(A:A, 14 + INT((ROW()-14)/8)*8)</f>
        <v>1.2168862619415055</v>
      </c>
      <c r="M233" s="1" cm="1">
        <f t="array" ref="M233">INDEX(E:E, 14 + INT((ROW()-14)/8)*8)*J233
+ INDEX(F:F, 14 + INT((ROW()-14)/8)*8)*K233
+ INDEX(D:D, 14 + INT((ROW()-14)/8)*8)</f>
        <v>-8.5087982603865662</v>
      </c>
      <c r="N233" s="1">
        <f t="shared" si="567"/>
        <v>0.77151512521990595</v>
      </c>
      <c r="O233" s="1">
        <f t="shared" si="568"/>
        <v>2.0164538439337154E-4</v>
      </c>
      <c r="P233" s="1" cm="1">
        <f t="array" ref="P233">INDEX(H:H, 14 + INT((ROW()-14)/8)*8)*N233
+ INDEX(I:I, 14 + INT((ROW()-14)/8)*8)*O233
+ INDEX(G:G, 14 + INT((ROW()-14)/8)*8)</f>
        <v>-1.5774489812438528</v>
      </c>
      <c r="Q233" s="1">
        <f t="shared" si="569"/>
        <v>0.17115707195534013</v>
      </c>
      <c r="R233" s="8">
        <f>($C$7-Q233)^2</f>
        <v>2.929474328032548E-2</v>
      </c>
      <c r="S233" s="1">
        <f>2*(Q233-$C$7)</f>
        <v>0.34231414391068027</v>
      </c>
      <c r="T233" s="1">
        <f t="shared" si="570"/>
        <v>0.14186232867501467</v>
      </c>
      <c r="U233" s="1">
        <v>1</v>
      </c>
      <c r="V233" s="1">
        <f t="shared" si="571"/>
        <v>0.77151512521990595</v>
      </c>
      <c r="W233" s="8">
        <f t="shared" si="572"/>
        <v>2.0164538439337154E-4</v>
      </c>
      <c r="X233" s="1">
        <f t="shared" si="573"/>
        <v>4.8561481593563195E-2</v>
      </c>
      <c r="Y233" s="1">
        <f t="shared" si="574"/>
        <v>3.7465917552522064E-2</v>
      </c>
      <c r="Z233" s="8">
        <f t="shared" si="575"/>
        <v>9.7921986226456868E-6</v>
      </c>
      <c r="AA233" s="1">
        <f>2*(Q233-$C$7)</f>
        <v>0.34231414391068027</v>
      </c>
      <c r="AB233" s="1" cm="1">
        <f t="array" ref="AB233">INDEX(H:H, 14 + INT((ROW()-14)/8)*8)</f>
        <v>-4.8337287630936769</v>
      </c>
      <c r="AC233" s="1" cm="1">
        <f t="array" ref="AC233">INDEX(I:I, 14 + INT((ROW()-14)/8)*8)</f>
        <v>-4.0663391793360288</v>
      </c>
      <c r="AD233" s="1">
        <f t="shared" si="576"/>
        <v>0.17627953677681879</v>
      </c>
      <c r="AE233" s="1">
        <f t="shared" si="577"/>
        <v>2.0160472353232439E-4</v>
      </c>
      <c r="AF233" s="1">
        <v>1</v>
      </c>
      <c r="AG233" s="1">
        <f t="shared" si="578"/>
        <v>1</v>
      </c>
      <c r="AH233" s="1">
        <f t="shared" si="579"/>
        <v>1</v>
      </c>
      <c r="AI233" s="1"/>
      <c r="AJ233" s="1"/>
      <c r="AK233" s="1">
        <v>1</v>
      </c>
      <c r="AL233" s="1">
        <f t="shared" si="580"/>
        <v>1</v>
      </c>
      <c r="AM233" s="8">
        <f t="shared" si="581"/>
        <v>1</v>
      </c>
      <c r="AN233" s="1">
        <f t="shared" si="582"/>
        <v>-4.1378629857595071E-2</v>
      </c>
      <c r="AO233" s="1">
        <f t="shared" si="583"/>
        <v>-4.1378629857595071E-2</v>
      </c>
      <c r="AP233" s="1">
        <f t="shared" si="584"/>
        <v>-4.1378629857595071E-2</v>
      </c>
      <c r="AQ233" s="1">
        <f t="shared" si="585"/>
        <v>-3.9810371714346803E-5</v>
      </c>
      <c r="AR233" s="1">
        <f t="shared" si="586"/>
        <v>-3.9810371714346803E-5</v>
      </c>
      <c r="AS233" s="8">
        <f t="shared" si="587"/>
        <v>-3.9810371714346803E-5</v>
      </c>
      <c r="AT233" s="1"/>
    </row>
    <row r="234" spans="1:4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6">
        <f>SUM(R230:R233)</f>
        <v>0.12869500697515512</v>
      </c>
      <c r="S234" s="1"/>
      <c r="T234" s="1"/>
      <c r="U234" s="1"/>
      <c r="V234" s="1"/>
      <c r="W234" s="1"/>
      <c r="X234" s="1">
        <f>AVERAGE(X230:X233)</f>
        <v>-4.146124897241742E-3</v>
      </c>
      <c r="Y234" s="1">
        <f>AVERAGE(Y230:Y233)</f>
        <v>6.2142896382121737E-3</v>
      </c>
      <c r="Z234" s="1">
        <f>AVERAGE(Z230:Z233)</f>
        <v>9.78104179409044E-3</v>
      </c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>
        <f>AVERAGE(AN230:AN233)</f>
        <v>2.8615996307205308E-3</v>
      </c>
      <c r="AO234" s="1">
        <f>AVERAGE(AO230:AO233)</f>
        <v>8.4560233623857776E-4</v>
      </c>
      <c r="AP234" s="1">
        <f xml:space="preserve"> AVERAGE(AP230:AP233)</f>
        <v>-8.1804554493114662E-3</v>
      </c>
      <c r="AQ234" s="1">
        <f>AVERAGE(AQ230:AQ233)</f>
        <v>1.0163523561998692E-3</v>
      </c>
      <c r="AR234" s="1">
        <f>AVERAGE(AR230:AR233)</f>
        <v>2.8996813502731996E-3</v>
      </c>
      <c r="AS234" s="1">
        <f>AVERAGE(AS230:AS233)</f>
        <v>1.8731044038385266E-3</v>
      </c>
      <c r="AT234" s="1"/>
    </row>
    <row r="235" spans="1:4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6" ht="15" thickBot="1" x14ac:dyDescent="0.35">
      <c r="A236" s="1" t="s">
        <v>38</v>
      </c>
      <c r="B236" s="1">
        <v>28</v>
      </c>
      <c r="C236" s="1"/>
      <c r="D236" s="1"/>
      <c r="E236" s="1"/>
      <c r="F236" s="1"/>
      <c r="G236" s="1"/>
      <c r="H236" s="1"/>
      <c r="I236" s="1"/>
      <c r="J236" s="30" t="s">
        <v>7</v>
      </c>
      <c r="K236" s="31"/>
      <c r="L236" s="30" t="s">
        <v>8</v>
      </c>
      <c r="M236" s="31"/>
      <c r="N236" s="30" t="s">
        <v>9</v>
      </c>
      <c r="O236" s="31"/>
      <c r="P236" s="1"/>
      <c r="Q236" s="9" t="s">
        <v>10</v>
      </c>
      <c r="R236" s="10" t="s">
        <v>11</v>
      </c>
      <c r="S236" s="1"/>
      <c r="T236" s="11"/>
      <c r="U236" s="23" t="s">
        <v>13</v>
      </c>
      <c r="V236" s="24"/>
      <c r="W236" s="26"/>
      <c r="X236" s="32" t="s">
        <v>12</v>
      </c>
      <c r="Y236" s="33"/>
      <c r="Z236" s="34"/>
      <c r="AA236" s="35"/>
      <c r="AB236" s="25"/>
      <c r="AC236" s="21"/>
      <c r="AD236" s="22"/>
      <c r="AE236" s="11"/>
      <c r="AF236" s="11"/>
      <c r="AG236" s="23" t="s">
        <v>44</v>
      </c>
      <c r="AH236" s="24"/>
      <c r="AI236" s="25"/>
      <c r="AJ236" s="17"/>
      <c r="AK236" s="17"/>
      <c r="AL236" s="23" t="s">
        <v>45</v>
      </c>
      <c r="AM236" s="24"/>
      <c r="AN236" s="26"/>
      <c r="AO236" s="27" t="s">
        <v>12</v>
      </c>
      <c r="AP236" s="28"/>
      <c r="AQ236" s="28"/>
      <c r="AR236" s="28"/>
      <c r="AS236" s="28"/>
      <c r="AT236" s="29"/>
    </row>
    <row r="237" spans="1:46" ht="15" thickBot="1" x14ac:dyDescent="0.35">
      <c r="A237" s="12" t="s">
        <v>14</v>
      </c>
      <c r="B237" s="12" t="s">
        <v>15</v>
      </c>
      <c r="C237" s="12" t="s">
        <v>16</v>
      </c>
      <c r="D237" s="12" t="s">
        <v>17</v>
      </c>
      <c r="E237" s="12" t="s">
        <v>18</v>
      </c>
      <c r="F237" s="12" t="s">
        <v>19</v>
      </c>
      <c r="G237" s="12" t="s">
        <v>20</v>
      </c>
      <c r="H237" s="12" t="s">
        <v>21</v>
      </c>
      <c r="I237" s="12" t="s">
        <v>22</v>
      </c>
      <c r="J237" s="12" t="s">
        <v>23</v>
      </c>
      <c r="K237" s="12" t="s">
        <v>24</v>
      </c>
      <c r="L237" s="12" t="s">
        <v>39</v>
      </c>
      <c r="M237" s="12" t="s">
        <v>40</v>
      </c>
      <c r="N237" s="12" t="s">
        <v>41</v>
      </c>
      <c r="O237" s="12" t="s">
        <v>42</v>
      </c>
      <c r="P237" s="12" t="s">
        <v>25</v>
      </c>
      <c r="Q237" s="12" t="s">
        <v>26</v>
      </c>
      <c r="R237" s="13" t="s">
        <v>27</v>
      </c>
      <c r="S237" s="12" t="s">
        <v>43</v>
      </c>
      <c r="T237" s="12" t="s">
        <v>31</v>
      </c>
      <c r="U237" s="12" t="s">
        <v>28</v>
      </c>
      <c r="V237" s="12" t="s">
        <v>29</v>
      </c>
      <c r="W237" s="13" t="s">
        <v>30</v>
      </c>
      <c r="X237" s="12" t="s">
        <v>28</v>
      </c>
      <c r="Y237" s="12" t="s">
        <v>29</v>
      </c>
      <c r="Z237" s="13" t="s">
        <v>30</v>
      </c>
      <c r="AA237" s="12" t="s">
        <v>50</v>
      </c>
      <c r="AB237" s="12" t="s">
        <v>48</v>
      </c>
      <c r="AC237" s="12" t="s">
        <v>49</v>
      </c>
      <c r="AD237" s="12" t="s">
        <v>46</v>
      </c>
      <c r="AE237" s="12" t="s">
        <v>47</v>
      </c>
      <c r="AF237" s="12" t="s">
        <v>32</v>
      </c>
      <c r="AG237" s="12" t="s">
        <v>33</v>
      </c>
      <c r="AH237" s="12" t="s">
        <v>34</v>
      </c>
      <c r="AI237" s="12"/>
      <c r="AJ237" s="12"/>
      <c r="AK237" s="12" t="s">
        <v>35</v>
      </c>
      <c r="AL237" s="12" t="s">
        <v>36</v>
      </c>
      <c r="AM237" s="13" t="s">
        <v>37</v>
      </c>
      <c r="AN237" s="12" t="s">
        <v>32</v>
      </c>
      <c r="AO237" s="12" t="s">
        <v>33</v>
      </c>
      <c r="AP237" s="12" t="s">
        <v>34</v>
      </c>
      <c r="AQ237" s="12" t="s">
        <v>35</v>
      </c>
      <c r="AR237" s="12" t="s">
        <v>36</v>
      </c>
      <c r="AS237" s="13" t="s">
        <v>37</v>
      </c>
      <c r="AT237" s="1"/>
    </row>
    <row r="238" spans="1:46" ht="15" thickBot="1" x14ac:dyDescent="0.35">
      <c r="A238" s="3" cm="1">
        <f t="array" ref="A238">INDEX(A:A, 14 + INT((ROW()-18)/8)*8)
 - $C$9 *
 INDEX(AN:AN, 18 + INT((ROW()-18)/8)*8)</f>
        <v>-5.9807702898565447</v>
      </c>
      <c r="B238" s="3" cm="1">
        <f t="array" ref="B238">INDEX(B:B, 14 + INT((ROW()-18)/8)*8)
 - $C$9 *
 INDEX(AO:AO, 18 + INT((ROW()-18)/8)*8)</f>
        <v>4.2004972476502642</v>
      </c>
      <c r="C238" s="3" cm="1">
        <f t="array" ref="C238">INDEX(C:C, 14 + INT((ROW()-18)/8)*8)
 - $C$9 *
 INDEX(AP:AP, 18 + INT((ROW()-18)/8)*8)</f>
        <v>3.019525571559547</v>
      </c>
      <c r="D238" s="3" cm="1">
        <f t="array" ref="D238">INDEX(D:D, 14 + INT((ROW()-18)/8)*8)
 - $C$9 *
 INDEX(AQ:AQ, 18 + INT((ROW()-18)/8)*8)</f>
        <v>2.382619101755282</v>
      </c>
      <c r="E238" s="3" cm="1">
        <f t="array" ref="E238">INDEX(E:E, 14 + INT((ROW()-18)/8)*8)
 - $C$9 *
 INDEX(AR:AR, 18 + INT((ROW()-18)/8)*8)</f>
        <v>-5.5728279575106132</v>
      </c>
      <c r="F238" s="3" cm="1">
        <f t="array" ref="F238">INDEX(F:F, 14 + INT((ROW()-18)/8)*8)
 - $C$9 *
 INDEX(AS:AS, 18 + INT((ROW()-18)/8)*8)</f>
        <v>-5.3475350951827929</v>
      </c>
      <c r="G238" s="3" cm="1">
        <f t="array" ref="G238">INDEX(G:G, 14 + INT((ROW()-18)/8)*8)
 - $C$9 *
 INDEX(X:X, 18 + INT((ROW()-18)/8)*8)</f>
        <v>2.1733964537065265</v>
      </c>
      <c r="H238" s="3" cm="1">
        <f t="array" ref="H238">INDEX(H:H, 14 + INT((ROW()-18)/8)*8)
 - $C$9 *
 INDEX(Y:Y, 18 + INT((ROW()-18)/8)*8)</f>
        <v>-4.8648002112847379</v>
      </c>
      <c r="I238" s="3" cm="1">
        <f t="array" ref="I238">INDEX(I:I, 14 + INT((ROW()-18)/8)*8)
 - $C$9 *
 INDEX(Z:Z, 18 + INT((ROW()-18)/8)*8)</f>
        <v>-4.1152443883064809</v>
      </c>
      <c r="J238" s="3">
        <v>0</v>
      </c>
      <c r="K238" s="3">
        <v>0</v>
      </c>
      <c r="L238" s="1" cm="1">
        <f t="array" ref="L238">INDEX(B:B, 14 + INT((ROW()-14)/8)*8)*J238
+ INDEX(C:C, 14 + INT((ROW()-14)/8)*8)*K238
+ INDEX(A:A, 14 + INT((ROW()-14)/8)*8)</f>
        <v>-5.9807702898565447</v>
      </c>
      <c r="M238" s="1" cm="1">
        <f t="array" ref="M238">INDEX(E:E, 14 + INT((ROW()-14)/8)*8)*J238
+ INDEX(F:F, 14 + INT((ROW()-14)/8)*8)*K238
+ INDEX(D:D, 14 + INT((ROW()-14)/8)*8)</f>
        <v>2.382619101755282</v>
      </c>
      <c r="N238" s="1">
        <f>1/(1+EXP(-L238))</f>
        <v>2.520510088732462E-3</v>
      </c>
      <c r="O238" s="1">
        <f>1/(1+EXP(-M238))</f>
        <v>0.91549228474745903</v>
      </c>
      <c r="P238" s="1" cm="1">
        <f t="array" ref="P238">INDEX(H:H, 14 + INT((ROW()-14)/8)*8)*N238
+ INDEX(I:I, 14 + INT((ROW()-14)/8)*8)*O238
+ INDEX(G:G, 14 + INT((ROW()-14)/8)*8)</f>
        <v>-1.6063398116505443</v>
      </c>
      <c r="Q238" s="1">
        <f>1/(1+EXP(-P238))</f>
        <v>0.16709740291907557</v>
      </c>
      <c r="R238" s="8">
        <f>($C$4-Q238)^2</f>
        <v>2.7921542062299885E-2</v>
      </c>
      <c r="S238" s="1">
        <f>2*(Q238-$C$4)</f>
        <v>0.33419480583815114</v>
      </c>
      <c r="T238" s="1">
        <f>Q238*(1-Q238)</f>
        <v>0.13917586085677569</v>
      </c>
      <c r="U238" s="1">
        <v>1</v>
      </c>
      <c r="V238" s="1">
        <f>N238</f>
        <v>2.520510088732462E-3</v>
      </c>
      <c r="W238" s="8">
        <f>O238</f>
        <v>0.91549228474745903</v>
      </c>
      <c r="X238" s="1">
        <f>S238*T238*U238</f>
        <v>4.6511849796387693E-2</v>
      </c>
      <c r="Y238" s="1">
        <f>S238*T238*V238</f>
        <v>1.1723358665740409E-4</v>
      </c>
      <c r="Z238" s="8">
        <f>S238*T238*W238</f>
        <v>4.2581239637925608E-2</v>
      </c>
      <c r="AA238" s="1">
        <f>2*(Q238-$C$4)</f>
        <v>0.33419480583815114</v>
      </c>
      <c r="AB238" s="1" cm="1">
        <f t="array" ref="AB238">INDEX(H:H, 14 + INT((ROW()-14)/8)*8)</f>
        <v>-4.8648002112847379</v>
      </c>
      <c r="AC238" s="1" cm="1">
        <f t="array" ref="AC238">INDEX(I:I, 14 + INT((ROW()-14)/8)*8)</f>
        <v>-4.1152443883064809</v>
      </c>
      <c r="AD238" s="1">
        <f>N238*(1-N238)</f>
        <v>2.5141571176250598E-3</v>
      </c>
      <c r="AE238" s="1">
        <f xml:space="preserve"> O238*(1-O238)</f>
        <v>7.7366161315336426E-2</v>
      </c>
      <c r="AF238" s="1">
        <v>1</v>
      </c>
      <c r="AG238" s="1">
        <f>J238</f>
        <v>0</v>
      </c>
      <c r="AH238" s="1">
        <f>K238</f>
        <v>0</v>
      </c>
      <c r="AI238" s="1"/>
      <c r="AJ238" s="1"/>
      <c r="AK238" s="1">
        <v>1</v>
      </c>
      <c r="AL238" s="1">
        <f>J238</f>
        <v>0</v>
      </c>
      <c r="AM238" s="8">
        <f>K238</f>
        <v>0</v>
      </c>
      <c r="AN238" s="1">
        <f>S238*T238*AB238*AD238*AF238</f>
        <v>-5.6888048492543869E-4</v>
      </c>
      <c r="AO238" s="1">
        <f>S238*T238*AB238*AD238*AG238</f>
        <v>0</v>
      </c>
      <c r="AP238" s="1">
        <f>S238*T238*AB238*AD238*AH238</f>
        <v>0</v>
      </c>
      <c r="AQ238" s="1">
        <f>S238*T238*AC238*AE238*AK238</f>
        <v>-1.4808473491704447E-2</v>
      </c>
      <c r="AR238" s="1">
        <f>S238*T238*AC238*AE238*AL238</f>
        <v>0</v>
      </c>
      <c r="AS238" s="8">
        <f>S238*T238*AC238*AE238*AM238</f>
        <v>0</v>
      </c>
      <c r="AT238" s="1"/>
    </row>
    <row r="239" spans="1:4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3">
        <v>0</v>
      </c>
      <c r="K239" s="3">
        <v>1</v>
      </c>
      <c r="L239" s="1" cm="1">
        <f t="array" ref="L239">INDEX(B:B, 14 + INT((ROW()-14)/8)*8)*J239
+ INDEX(C:C, 14 + INT((ROW()-14)/8)*8)*K239
+ INDEX(A:A, 14 + INT((ROW()-14)/8)*8)</f>
        <v>-2.9612447182969976</v>
      </c>
      <c r="M239" s="1" cm="1">
        <f t="array" ref="M239">INDEX(E:E, 14 + INT((ROW()-14)/8)*8)*J239
+ INDEX(F:F, 14 + INT((ROW()-14)/8)*8)*K239
+ INDEX(D:D, 14 + INT((ROW()-14)/8)*8)</f>
        <v>-2.9649159934275109</v>
      </c>
      <c r="N239" s="1">
        <f t="shared" ref="N239:N241" si="588">1/(1+EXP(-L239))</f>
        <v>4.9207737587895532E-2</v>
      </c>
      <c r="O239" s="1">
        <f t="shared" ref="O239:O241" si="589">1/(1+EXP(-M239))</f>
        <v>4.9036256067051212E-2</v>
      </c>
      <c r="P239" s="1" cm="1">
        <f t="array" ref="P239">INDEX(H:H, 14 + INT((ROW()-14)/8)*8)*N239
+ INDEX(I:I, 14 + INT((ROW()-14)/8)*8)*O239
+ INDEX(G:G, 14 + INT((ROW()-14)/8)*8)</f>
        <v>1.7322144638885961</v>
      </c>
      <c r="Q239" s="1">
        <f t="shared" ref="Q239:Q241" si="590">1/(1+EXP(-P239))</f>
        <v>0.84969545534007118</v>
      </c>
      <c r="R239" s="8">
        <f>($C$5-Q239)^2</f>
        <v>2.2591456145428537E-2</v>
      </c>
      <c r="S239" s="1">
        <f>2*(Q239-$C$5)</f>
        <v>-0.30060908931985764</v>
      </c>
      <c r="T239" s="1">
        <f t="shared" ref="T239:T241" si="591">Q239*(1-Q239)</f>
        <v>0.12771308851450028</v>
      </c>
      <c r="U239" s="1">
        <v>1</v>
      </c>
      <c r="V239" s="1">
        <f t="shared" ref="V239:V241" si="592">N239</f>
        <v>4.9207737587895532E-2</v>
      </c>
      <c r="W239" s="8">
        <f t="shared" ref="W239:W241" si="593">O239</f>
        <v>4.9036256067051212E-2</v>
      </c>
      <c r="X239" s="1">
        <f t="shared" ref="X239:X241" si="594">S239*T239*U239</f>
        <v>-3.8391715232570296E-2</v>
      </c>
      <c r="Y239" s="1">
        <f t="shared" ref="Y239:Y241" si="595">S239*T239*V239</f>
        <v>-1.8891694487135307E-3</v>
      </c>
      <c r="Z239" s="8">
        <f t="shared" ref="Z239:Z241" si="596">S239*T239*W239</f>
        <v>-1.8825859789976275E-3</v>
      </c>
      <c r="AA239" s="1">
        <f>2*(Q239-$C$5)</f>
        <v>-0.30060908931985764</v>
      </c>
      <c r="AB239" s="1" cm="1">
        <f t="array" ref="AB239">INDEX(H:H, 14 + INT((ROW()-14)/8)*8)</f>
        <v>-4.8648002112847379</v>
      </c>
      <c r="AC239" s="1" cm="1">
        <f t="array" ref="AC239">INDEX(I:I, 14 + INT((ROW()-14)/8)*8)</f>
        <v>-4.1152443883064809</v>
      </c>
      <c r="AD239" s="1">
        <f t="shared" ref="AD239:AD241" si="597">N239*(1-N239)</f>
        <v>4.6786336149376342E-2</v>
      </c>
      <c r="AE239" s="1">
        <f t="shared" ref="AE239:AE241" si="598" xml:space="preserve"> O239*(1-O239)</f>
        <v>4.6631701657977795E-2</v>
      </c>
      <c r="AF239" s="1">
        <v>1</v>
      </c>
      <c r="AG239" s="1">
        <f t="shared" ref="AG239:AG241" si="599">J239</f>
        <v>0</v>
      </c>
      <c r="AH239" s="1">
        <f t="shared" ref="AH239:AH241" si="600">K239</f>
        <v>1</v>
      </c>
      <c r="AI239" s="1"/>
      <c r="AJ239" s="1"/>
      <c r="AK239" s="1">
        <v>1</v>
      </c>
      <c r="AL239" s="1">
        <f t="shared" ref="AL239:AL241" si="601">J239</f>
        <v>0</v>
      </c>
      <c r="AM239" s="8">
        <f t="shared" ref="AM239:AM241" si="602">K239</f>
        <v>1</v>
      </c>
      <c r="AN239" s="1">
        <f t="shared" ref="AN239:AN241" si="603">S239*T239*AB239*AD239*AF239</f>
        <v>8.7381915703632646E-3</v>
      </c>
      <c r="AO239" s="1">
        <f t="shared" ref="AO239:AO241" si="604">S239*T239*AB239*AD239*AG239</f>
        <v>0</v>
      </c>
      <c r="AP239" s="1">
        <f t="shared" ref="AP239:AP241" si="605">S239*T239*AB239*AD239*AH239</f>
        <v>8.7381915703632646E-3</v>
      </c>
      <c r="AQ239" s="1">
        <f t="shared" ref="AQ239:AQ241" si="606">S239*T239*AC239*AE239*AK239</f>
        <v>7.3674027310027994E-3</v>
      </c>
      <c r="AR239" s="1">
        <f t="shared" ref="AR239:AR241" si="607">S239*T239*AC239*AE239*AL239</f>
        <v>0</v>
      </c>
      <c r="AS239" s="8">
        <f t="shared" ref="AS239:AS241" si="608">S239*T239*AC239*AE239*AM239</f>
        <v>7.3674027310027994E-3</v>
      </c>
      <c r="AT239" s="1"/>
    </row>
    <row r="240" spans="1:4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3">
        <v>1</v>
      </c>
      <c r="K240" s="3">
        <v>0</v>
      </c>
      <c r="L240" s="1" cm="1">
        <f t="array" ref="L240">INDEX(B:B, 14 + INT((ROW()-14)/8)*8)*J240
+ INDEX(C:C, 14 + INT((ROW()-14)/8)*8)*K240
+ INDEX(A:A, 14 + INT((ROW()-14)/8)*8)</f>
        <v>-1.7802730422062805</v>
      </c>
      <c r="M240" s="1" cm="1">
        <f t="array" ref="M240">INDEX(E:E, 14 + INT((ROW()-14)/8)*8)*J240
+ INDEX(F:F, 14 + INT((ROW()-14)/8)*8)*K240
+ INDEX(D:D, 14 + INT((ROW()-14)/8)*8)</f>
        <v>-3.1902088557553312</v>
      </c>
      <c r="N240" s="1">
        <f t="shared" si="588"/>
        <v>0.14426942218431071</v>
      </c>
      <c r="O240" s="1">
        <f t="shared" si="589"/>
        <v>3.9535847957745708E-2</v>
      </c>
      <c r="P240" s="1" cm="1">
        <f t="array" ref="P240">INDEX(H:H, 14 + INT((ROW()-14)/8)*8)*N240
+ INDEX(I:I, 14 + INT((ROW()-14)/8)*8)*O240
+ INDEX(G:G, 14 + INT((ROW()-14)/8)*8)</f>
        <v>1.3088548617373132</v>
      </c>
      <c r="Q240" s="1">
        <f t="shared" si="590"/>
        <v>0.78732146971881156</v>
      </c>
      <c r="R240" s="8">
        <f>($C$6-Q240)^2</f>
        <v>4.5232157242566386E-2</v>
      </c>
      <c r="S240" s="1">
        <f>2*(Q240-$C$6)</f>
        <v>-0.42535706056237688</v>
      </c>
      <c r="T240" s="1">
        <f t="shared" si="591"/>
        <v>0.16744637303862206</v>
      </c>
      <c r="U240" s="1">
        <v>1</v>
      </c>
      <c r="V240" s="1">
        <f t="shared" si="592"/>
        <v>0.14426942218431071</v>
      </c>
      <c r="W240" s="8">
        <f t="shared" si="593"/>
        <v>3.9535847957745708E-2</v>
      </c>
      <c r="X240" s="1">
        <f t="shared" si="594"/>
        <v>-7.1224497037539511E-2</v>
      </c>
      <c r="Y240" s="1">
        <f t="shared" si="595"/>
        <v>-1.0275517032973976E-2</v>
      </c>
      <c r="Z240" s="8">
        <f t="shared" si="596"/>
        <v>-2.8159208857430717E-3</v>
      </c>
      <c r="AA240" s="1">
        <f>2*(Q240-$C$6)</f>
        <v>-0.42535706056237688</v>
      </c>
      <c r="AB240" s="1" cm="1">
        <f t="array" ref="AB240">INDEX(H:H, 14 + INT((ROW()-14)/8)*8)</f>
        <v>-4.8648002112847379</v>
      </c>
      <c r="AC240" s="1" cm="1">
        <f t="array" ref="AC240">INDEX(I:I, 14 + INT((ROW()-14)/8)*8)</f>
        <v>-4.1152443883064809</v>
      </c>
      <c r="AD240" s="1">
        <f t="shared" si="597"/>
        <v>0.12345575600691583</v>
      </c>
      <c r="AE240" s="1">
        <f t="shared" si="598"/>
        <v>3.7972764684007725E-2</v>
      </c>
      <c r="AF240" s="1">
        <v>1</v>
      </c>
      <c r="AG240" s="1">
        <f t="shared" si="599"/>
        <v>1</v>
      </c>
      <c r="AH240" s="1">
        <f t="shared" si="600"/>
        <v>0</v>
      </c>
      <c r="AI240" s="1"/>
      <c r="AJ240" s="1"/>
      <c r="AK240" s="1">
        <v>1</v>
      </c>
      <c r="AL240" s="1">
        <f t="shared" si="601"/>
        <v>1</v>
      </c>
      <c r="AM240" s="8">
        <f t="shared" si="602"/>
        <v>0</v>
      </c>
      <c r="AN240" s="1">
        <f t="shared" si="603"/>
        <v>4.2776548875648107E-2</v>
      </c>
      <c r="AO240" s="1">
        <f t="shared" si="604"/>
        <v>4.2776548875648107E-2</v>
      </c>
      <c r="AP240" s="1">
        <f t="shared" si="605"/>
        <v>0</v>
      </c>
      <c r="AQ240" s="1">
        <f t="shared" si="606"/>
        <v>1.1130053205963933E-2</v>
      </c>
      <c r="AR240" s="1">
        <f t="shared" si="607"/>
        <v>1.1130053205963933E-2</v>
      </c>
      <c r="AS240" s="8">
        <f t="shared" si="608"/>
        <v>0</v>
      </c>
      <c r="AT240" s="1"/>
    </row>
    <row r="241" spans="1:4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3">
        <v>1</v>
      </c>
      <c r="K241" s="3">
        <v>1</v>
      </c>
      <c r="L241" s="1" cm="1">
        <f t="array" ref="L241">INDEX(B:B, 14 + INT((ROW()-14)/8)*8)*J241
+ INDEX(C:C, 14 + INT((ROW()-14)/8)*8)*K241
+ INDEX(A:A, 14 + INT((ROW()-14)/8)*8)</f>
        <v>1.2392525293532666</v>
      </c>
      <c r="M241" s="1" cm="1">
        <f t="array" ref="M241">INDEX(E:E, 14 + INT((ROW()-14)/8)*8)*J241
+ INDEX(F:F, 14 + INT((ROW()-14)/8)*8)*K241
+ INDEX(D:D, 14 + INT((ROW()-14)/8)*8)</f>
        <v>-8.5377439509381254</v>
      </c>
      <c r="N241" s="1">
        <f t="shared" si="588"/>
        <v>0.77543387938548414</v>
      </c>
      <c r="O241" s="1">
        <f t="shared" si="589"/>
        <v>1.9589341189076587E-4</v>
      </c>
      <c r="P241" s="1" cm="1">
        <f t="array" ref="P241">INDEX(H:H, 14 + INT((ROW()-14)/8)*8)*N241
+ INDEX(I:I, 14 + INT((ROW()-14)/8)*8)*O241
+ INDEX(G:G, 14 + INT((ROW()-14)/8)*8)</f>
        <v>-1.5997405958293101</v>
      </c>
      <c r="Q241" s="1">
        <f t="shared" si="590"/>
        <v>0.16801787329923948</v>
      </c>
      <c r="R241" s="8">
        <f>($C$7-Q241)^2</f>
        <v>2.823000574799929E-2</v>
      </c>
      <c r="S241" s="1">
        <f>2*(Q241-$C$7)</f>
        <v>0.33603574659847896</v>
      </c>
      <c r="T241" s="1">
        <f t="shared" si="591"/>
        <v>0.1397878675512402</v>
      </c>
      <c r="U241" s="1">
        <v>1</v>
      </c>
      <c r="V241" s="1">
        <f t="shared" si="592"/>
        <v>0.77543387938548414</v>
      </c>
      <c r="W241" s="8">
        <f t="shared" si="593"/>
        <v>1.9589341189076587E-4</v>
      </c>
      <c r="X241" s="1">
        <f t="shared" si="594"/>
        <v>4.6973720437990293E-2</v>
      </c>
      <c r="Y241" s="1">
        <f t="shared" si="595"/>
        <v>3.6425014268400016E-2</v>
      </c>
      <c r="Z241" s="8">
        <f t="shared" si="596"/>
        <v>9.2018423658009196E-6</v>
      </c>
      <c r="AA241" s="1">
        <f>2*(Q241-$C$7)</f>
        <v>0.33603574659847896</v>
      </c>
      <c r="AB241" s="1" cm="1">
        <f t="array" ref="AB241">INDEX(H:H, 14 + INT((ROW()-14)/8)*8)</f>
        <v>-4.8648002112847379</v>
      </c>
      <c r="AC241" s="1" cm="1">
        <f t="array" ref="AC241">INDEX(I:I, 14 + INT((ROW()-14)/8)*8)</f>
        <v>-4.1152443883064809</v>
      </c>
      <c r="AD241" s="1">
        <f t="shared" si="597"/>
        <v>0.17413617808666257</v>
      </c>
      <c r="AE241" s="1">
        <f t="shared" si="598"/>
        <v>1.9585503766194367E-4</v>
      </c>
      <c r="AF241" s="1">
        <v>1</v>
      </c>
      <c r="AG241" s="1">
        <f t="shared" si="599"/>
        <v>1</v>
      </c>
      <c r="AH241" s="1">
        <f t="shared" si="600"/>
        <v>1</v>
      </c>
      <c r="AI241" s="1"/>
      <c r="AJ241" s="1"/>
      <c r="AK241" s="1">
        <v>1</v>
      </c>
      <c r="AL241" s="1">
        <f t="shared" si="601"/>
        <v>1</v>
      </c>
      <c r="AM241" s="8">
        <f t="shared" si="602"/>
        <v>1</v>
      </c>
      <c r="AN241" s="1">
        <f t="shared" si="603"/>
        <v>-3.9793210241433674E-2</v>
      </c>
      <c r="AO241" s="1">
        <f t="shared" si="604"/>
        <v>-3.9793210241433674E-2</v>
      </c>
      <c r="AP241" s="1">
        <f t="shared" si="605"/>
        <v>-3.9793210241433674E-2</v>
      </c>
      <c r="AQ241" s="1">
        <f t="shared" si="606"/>
        <v>-3.7860412099492524E-5</v>
      </c>
      <c r="AR241" s="1">
        <f t="shared" si="607"/>
        <v>-3.7860412099492524E-5</v>
      </c>
      <c r="AS241" s="8">
        <f t="shared" si="608"/>
        <v>-3.7860412099492524E-5</v>
      </c>
      <c r="AT241" s="1"/>
    </row>
    <row r="242" spans="1:4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6">
        <f>SUM(R238:R241)</f>
        <v>0.12397516119829409</v>
      </c>
      <c r="S242" s="1"/>
      <c r="T242" s="1"/>
      <c r="U242" s="1"/>
      <c r="V242" s="1"/>
      <c r="W242" s="1"/>
      <c r="X242" s="1">
        <f>AVERAGE(X238:X241)</f>
        <v>-4.0326605089329552E-3</v>
      </c>
      <c r="Y242" s="1">
        <f>AVERAGE(Y238:Y241)</f>
        <v>6.0943903433424785E-3</v>
      </c>
      <c r="Z242" s="1">
        <f>AVERAGE(Z238:Z241)</f>
        <v>9.4729836538876792E-3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>
        <f>AVERAGE(AN238:AN241)</f>
        <v>2.7881624299130638E-3</v>
      </c>
      <c r="AO242" s="1">
        <f>AVERAGE(AO238:AO241)</f>
        <v>7.4583465855360825E-4</v>
      </c>
      <c r="AP242" s="1">
        <f xml:space="preserve"> AVERAGE(AP238:AP241)</f>
        <v>-7.7637546677676028E-3</v>
      </c>
      <c r="AQ242" s="1">
        <f>AVERAGE(AQ238:AQ241)</f>
        <v>9.1278050829069813E-4</v>
      </c>
      <c r="AR242" s="1">
        <f>AVERAGE(AR238:AR241)</f>
        <v>2.77304819846611E-3</v>
      </c>
      <c r="AS242" s="1">
        <f>AVERAGE(AS238:AS241)</f>
        <v>1.8323855797258268E-3</v>
      </c>
      <c r="AT242" s="1"/>
    </row>
    <row r="243" spans="1:4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4"/>
      <c r="S243" s="1"/>
      <c r="T243" s="1"/>
      <c r="U243" s="1"/>
      <c r="V243" s="1"/>
      <c r="W243" s="8"/>
      <c r="X243" s="15"/>
      <c r="Y243" s="15"/>
      <c r="Z243" s="14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8"/>
      <c r="AM243" s="15"/>
      <c r="AN243" s="15"/>
      <c r="AO243" s="15"/>
      <c r="AP243" s="15"/>
      <c r="AQ243" s="15"/>
      <c r="AR243" s="14"/>
      <c r="AS243" s="1"/>
    </row>
    <row r="244" spans="1:46" ht="15" thickBot="1" x14ac:dyDescent="0.35">
      <c r="A244" s="1" t="s">
        <v>38</v>
      </c>
      <c r="B244" s="1">
        <v>29</v>
      </c>
      <c r="C244" s="1"/>
      <c r="D244" s="1"/>
      <c r="E244" s="1"/>
      <c r="F244" s="1"/>
      <c r="G244" s="1"/>
      <c r="H244" s="1"/>
      <c r="I244" s="1"/>
      <c r="J244" s="30" t="s">
        <v>7</v>
      </c>
      <c r="K244" s="31"/>
      <c r="L244" s="30" t="s">
        <v>8</v>
      </c>
      <c r="M244" s="31"/>
      <c r="N244" s="30" t="s">
        <v>9</v>
      </c>
      <c r="O244" s="31"/>
      <c r="P244" s="1"/>
      <c r="Q244" s="9" t="s">
        <v>10</v>
      </c>
      <c r="R244" s="10" t="s">
        <v>11</v>
      </c>
      <c r="S244" s="1"/>
      <c r="T244" s="11"/>
      <c r="U244" s="23" t="s">
        <v>13</v>
      </c>
      <c r="V244" s="24"/>
      <c r="W244" s="26"/>
      <c r="X244" s="32" t="s">
        <v>12</v>
      </c>
      <c r="Y244" s="33"/>
      <c r="Z244" s="34"/>
      <c r="AA244" s="35"/>
      <c r="AB244" s="25"/>
      <c r="AC244" s="21"/>
      <c r="AD244" s="22"/>
      <c r="AE244" s="11"/>
      <c r="AF244" s="11"/>
      <c r="AG244" s="23" t="s">
        <v>44</v>
      </c>
      <c r="AH244" s="24"/>
      <c r="AI244" s="25"/>
      <c r="AJ244" s="17"/>
      <c r="AK244" s="17"/>
      <c r="AL244" s="23" t="s">
        <v>45</v>
      </c>
      <c r="AM244" s="24"/>
      <c r="AN244" s="26"/>
      <c r="AO244" s="27" t="s">
        <v>12</v>
      </c>
      <c r="AP244" s="28"/>
      <c r="AQ244" s="28"/>
      <c r="AR244" s="28"/>
      <c r="AS244" s="28"/>
      <c r="AT244" s="29"/>
    </row>
    <row r="245" spans="1:46" ht="15" thickBot="1" x14ac:dyDescent="0.35">
      <c r="A245" s="12" t="s">
        <v>14</v>
      </c>
      <c r="B245" s="12" t="s">
        <v>15</v>
      </c>
      <c r="C245" s="12" t="s">
        <v>16</v>
      </c>
      <c r="D245" s="12" t="s">
        <v>17</v>
      </c>
      <c r="E245" s="12" t="s">
        <v>18</v>
      </c>
      <c r="F245" s="12" t="s">
        <v>19</v>
      </c>
      <c r="G245" s="12" t="s">
        <v>20</v>
      </c>
      <c r="H245" s="12" t="s">
        <v>21</v>
      </c>
      <c r="I245" s="12" t="s">
        <v>22</v>
      </c>
      <c r="J245" s="12" t="s">
        <v>23</v>
      </c>
      <c r="K245" s="12" t="s">
        <v>24</v>
      </c>
      <c r="L245" s="12" t="s">
        <v>39</v>
      </c>
      <c r="M245" s="12" t="s">
        <v>40</v>
      </c>
      <c r="N245" s="12" t="s">
        <v>41</v>
      </c>
      <c r="O245" s="12" t="s">
        <v>42</v>
      </c>
      <c r="P245" s="12" t="s">
        <v>25</v>
      </c>
      <c r="Q245" s="12" t="s">
        <v>26</v>
      </c>
      <c r="R245" s="13" t="s">
        <v>27</v>
      </c>
      <c r="S245" s="12" t="s">
        <v>43</v>
      </c>
      <c r="T245" s="12" t="s">
        <v>31</v>
      </c>
      <c r="U245" s="12" t="s">
        <v>28</v>
      </c>
      <c r="V245" s="12" t="s">
        <v>29</v>
      </c>
      <c r="W245" s="13" t="s">
        <v>30</v>
      </c>
      <c r="X245" s="12" t="s">
        <v>28</v>
      </c>
      <c r="Y245" s="12" t="s">
        <v>29</v>
      </c>
      <c r="Z245" s="13" t="s">
        <v>30</v>
      </c>
      <c r="AA245" s="12" t="s">
        <v>50</v>
      </c>
      <c r="AB245" s="12" t="s">
        <v>48</v>
      </c>
      <c r="AC245" s="12" t="s">
        <v>49</v>
      </c>
      <c r="AD245" s="12" t="s">
        <v>46</v>
      </c>
      <c r="AE245" s="12" t="s">
        <v>47</v>
      </c>
      <c r="AF245" s="12" t="s">
        <v>32</v>
      </c>
      <c r="AG245" s="12" t="s">
        <v>33</v>
      </c>
      <c r="AH245" s="12" t="s">
        <v>34</v>
      </c>
      <c r="AI245" s="12"/>
      <c r="AJ245" s="12"/>
      <c r="AK245" s="12" t="s">
        <v>35</v>
      </c>
      <c r="AL245" s="12" t="s">
        <v>36</v>
      </c>
      <c r="AM245" s="13" t="s">
        <v>37</v>
      </c>
      <c r="AN245" s="12" t="s">
        <v>32</v>
      </c>
      <c r="AO245" s="12" t="s">
        <v>33</v>
      </c>
      <c r="AP245" s="12" t="s">
        <v>34</v>
      </c>
      <c r="AQ245" s="12" t="s">
        <v>35</v>
      </c>
      <c r="AR245" s="12" t="s">
        <v>36</v>
      </c>
      <c r="AS245" s="13" t="s">
        <v>37</v>
      </c>
      <c r="AT245" s="1"/>
    </row>
    <row r="246" spans="1:46" ht="15" thickBot="1" x14ac:dyDescent="0.35">
      <c r="A246" s="3" cm="1">
        <f t="array" ref="A246">INDEX(A:A, 14 + INT((ROW()-18)/8)*8)
 - $C$9 *
 INDEX(AN:AN, 18 + INT((ROW()-18)/8)*8)</f>
        <v>-5.9947111020061099</v>
      </c>
      <c r="B246" s="3" cm="1">
        <f t="array" ref="B246">INDEX(B:B, 14 + INT((ROW()-18)/8)*8)
 - $C$9 *
 INDEX(AO:AO, 18 + INT((ROW()-18)/8)*8)</f>
        <v>4.1967680743574958</v>
      </c>
      <c r="C246" s="3" cm="1">
        <f t="array" ref="C246">INDEX(C:C, 14 + INT((ROW()-18)/8)*8)
 - $C$9 *
 INDEX(AP:AP, 18 + INT((ROW()-18)/8)*8)</f>
        <v>3.0583443448983849</v>
      </c>
      <c r="D246" s="3" cm="1">
        <f t="array" ref="D246">INDEX(D:D, 14 + INT((ROW()-18)/8)*8)
 - $C$9 *
 INDEX(AQ:AQ, 18 + INT((ROW()-18)/8)*8)</f>
        <v>2.3780551992138284</v>
      </c>
      <c r="E246" s="3" cm="1">
        <f t="array" ref="E246">INDEX(E:E, 14 + INT((ROW()-18)/8)*8)
 - $C$9 *
 INDEX(AR:AR, 18 + INT((ROW()-18)/8)*8)</f>
        <v>-5.5866931985029433</v>
      </c>
      <c r="F246" s="3" cm="1">
        <f t="array" ref="F246">INDEX(F:F, 14 + INT((ROW()-18)/8)*8)
 - $C$9 *
 INDEX(AS:AS, 18 + INT((ROW()-18)/8)*8)</f>
        <v>-5.3566970230814217</v>
      </c>
      <c r="G246" s="3" cm="1">
        <f t="array" ref="G246">INDEX(G:G, 14 + INT((ROW()-18)/8)*8)
 - $C$9 *
 INDEX(X:X, 18 + INT((ROW()-18)/8)*8)</f>
        <v>2.193559756251191</v>
      </c>
      <c r="H246" s="3" cm="1">
        <f t="array" ref="H246">INDEX(H:H, 14 + INT((ROW()-18)/8)*8)
 - $C$9 *
 INDEX(Y:Y, 18 + INT((ROW()-18)/8)*8)</f>
        <v>-4.89527216300145</v>
      </c>
      <c r="I246" s="3" cm="1">
        <f t="array" ref="I246">INDEX(I:I, 14 + INT((ROW()-18)/8)*8)
 - $C$9 *
 INDEX(Z:Z, 18 + INT((ROW()-18)/8)*8)</f>
        <v>-4.1626093065759191</v>
      </c>
      <c r="J246" s="3">
        <v>0</v>
      </c>
      <c r="K246" s="3">
        <v>0</v>
      </c>
      <c r="L246" s="1" cm="1">
        <f t="array" ref="L246">INDEX(B:B, 14 + INT((ROW()-14)/8)*8)*J246
+ INDEX(C:C, 14 + INT((ROW()-14)/8)*8)*K246
+ INDEX(A:A, 14 + INT((ROW()-14)/8)*8)</f>
        <v>-5.9947111020061099</v>
      </c>
      <c r="M246" s="1" cm="1">
        <f t="array" ref="M246">INDEX(E:E, 14 + INT((ROW()-14)/8)*8)*J246
+ INDEX(F:F, 14 + INT((ROW()-14)/8)*8)*K246
+ INDEX(D:D, 14 + INT((ROW()-14)/8)*8)</f>
        <v>2.3780551992138284</v>
      </c>
      <c r="N246" s="1">
        <f>1/(1+EXP(-L246))</f>
        <v>2.4857026592199011E-3</v>
      </c>
      <c r="O246" s="1">
        <f>1/(1+EXP(-M246))</f>
        <v>0.91513852291461761</v>
      </c>
      <c r="P246" s="1" cm="1">
        <f t="array" ref="P246">INDEX(H:H, 14 + INT((ROW()-14)/8)*8)*N246
+ INDEX(I:I, 14 + INT((ROW()-14)/8)*8)*O246
+ INDEX(G:G, 14 + INT((ROW()-14)/8)*8)</f>
        <v>-1.627972567072514</v>
      </c>
      <c r="Q246" s="1">
        <f>1/(1+EXP(-P246))</f>
        <v>0.16410828853663656</v>
      </c>
      <c r="R246" s="8">
        <f>($C$4-Q246)^2</f>
        <v>2.6931530366423959E-2</v>
      </c>
      <c r="S246" s="1">
        <f>2*(Q246-$C$4)</f>
        <v>0.32821657707327312</v>
      </c>
      <c r="T246" s="1">
        <f>Q246*(1-Q246)</f>
        <v>0.1371767581702126</v>
      </c>
      <c r="U246" s="1">
        <v>1</v>
      </c>
      <c r="V246" s="1">
        <f>N246</f>
        <v>2.4857026592199011E-3</v>
      </c>
      <c r="W246" s="8">
        <f>O246</f>
        <v>0.91513852291461761</v>
      </c>
      <c r="X246" s="1">
        <f>S246*T246*U246</f>
        <v>4.5023686020635334E-2</v>
      </c>
      <c r="Y246" s="1">
        <f>S246*T246*V246</f>
        <v>1.1191549606937514E-4</v>
      </c>
      <c r="Z246" s="8">
        <f>S246*T246*W246</f>
        <v>4.1202909521095739E-2</v>
      </c>
      <c r="AA246" s="1">
        <f>2*(Q246-$C$4)</f>
        <v>0.32821657707327312</v>
      </c>
      <c r="AB246" s="1" cm="1">
        <f t="array" ref="AB246">INDEX(H:H, 14 + INT((ROW()-14)/8)*8)</f>
        <v>-4.89527216300145</v>
      </c>
      <c r="AC246" s="1" cm="1">
        <f t="array" ref="AC246">INDEX(I:I, 14 + INT((ROW()-14)/8)*8)</f>
        <v>-4.1626093065759191</v>
      </c>
      <c r="AD246" s="1">
        <f>N246*(1-N246)</f>
        <v>2.4795239415098484E-3</v>
      </c>
      <c r="AE246" s="1">
        <f xml:space="preserve"> O246*(1-O246)</f>
        <v>7.7660006792269504E-2</v>
      </c>
      <c r="AF246" s="1">
        <v>1</v>
      </c>
      <c r="AG246" s="1">
        <f>J246</f>
        <v>0</v>
      </c>
      <c r="AH246" s="1">
        <f>K246</f>
        <v>0</v>
      </c>
      <c r="AI246" s="1"/>
      <c r="AJ246" s="1"/>
      <c r="AK246" s="1">
        <v>1</v>
      </c>
      <c r="AL246" s="1">
        <f>J246</f>
        <v>0</v>
      </c>
      <c r="AM246" s="8">
        <f>K246</f>
        <v>0</v>
      </c>
      <c r="AN246" s="1">
        <f>S246*T246*AB246*AD246*AF246</f>
        <v>-5.4649500338116528E-4</v>
      </c>
      <c r="AO246" s="1">
        <f>S246*T246*AB246*AD246*AG246</f>
        <v>0</v>
      </c>
      <c r="AP246" s="1">
        <f>S246*T246*AB246*AD246*AH246</f>
        <v>0</v>
      </c>
      <c r="AQ246" s="1">
        <f>S246*T246*AC246*AE246*AK246</f>
        <v>-1.4554728954844692E-2</v>
      </c>
      <c r="AR246" s="1">
        <f>S246*T246*AC246*AE246*AL246</f>
        <v>0</v>
      </c>
      <c r="AS246" s="8">
        <f>S246*T246*AC246*AE246*AM246</f>
        <v>0</v>
      </c>
      <c r="AT246" s="1"/>
    </row>
    <row r="247" spans="1:4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3">
        <v>0</v>
      </c>
      <c r="K247" s="3">
        <v>1</v>
      </c>
      <c r="L247" s="1" cm="1">
        <f t="array" ref="L247">INDEX(B:B, 14 + INT((ROW()-14)/8)*8)*J247
+ INDEX(C:C, 14 + INT((ROW()-14)/8)*8)*K247
+ INDEX(A:A, 14 + INT((ROW()-14)/8)*8)</f>
        <v>-2.936366757107725</v>
      </c>
      <c r="M247" s="1" cm="1">
        <f t="array" ref="M247">INDEX(E:E, 14 + INT((ROW()-14)/8)*8)*J247
+ INDEX(F:F, 14 + INT((ROW()-14)/8)*8)*K247
+ INDEX(D:D, 14 + INT((ROW()-14)/8)*8)</f>
        <v>-2.9786418238675934</v>
      </c>
      <c r="N247" s="1">
        <f t="shared" ref="N247:N249" si="609">1/(1+EXP(-L247))</f>
        <v>5.0384826339810618E-2</v>
      </c>
      <c r="O247" s="1">
        <f t="shared" ref="O247:O249" si="610">1/(1+EXP(-M247))</f>
        <v>4.8400144659191624E-2</v>
      </c>
      <c r="P247" s="1" cm="1">
        <f t="array" ref="P247">INDEX(H:H, 14 + INT((ROW()-14)/8)*8)*N247
+ INDEX(I:I, 14 + INT((ROW()-14)/8)*8)*O247
+ INDEX(G:G, 14 + INT((ROW()-14)/8)*8)</f>
        <v>1.7454414258342821</v>
      </c>
      <c r="Q247" s="1">
        <f t="shared" ref="Q247:Q249" si="611">1/(1+EXP(-P247))</f>
        <v>0.85137690957465906</v>
      </c>
      <c r="R247" s="8">
        <f>($C$5-Q247)^2</f>
        <v>2.208882300757907E-2</v>
      </c>
      <c r="S247" s="1">
        <f>2*(Q247-$C$5)</f>
        <v>-0.29724618085068188</v>
      </c>
      <c r="T247" s="1">
        <f t="shared" ref="T247:T249" si="612">Q247*(1-Q247)</f>
        <v>0.12653426741776186</v>
      </c>
      <c r="U247" s="1">
        <v>1</v>
      </c>
      <c r="V247" s="1">
        <f t="shared" ref="V247:V249" si="613">N247</f>
        <v>5.0384826339810618E-2</v>
      </c>
      <c r="W247" s="8">
        <f t="shared" ref="W247:W249" si="614">O247</f>
        <v>4.8400144659191624E-2</v>
      </c>
      <c r="X247" s="1">
        <f t="shared" ref="X247:X249" si="615">S247*T247*U247</f>
        <v>-3.7611827736668588E-2</v>
      </c>
      <c r="Y247" s="1">
        <f t="shared" ref="Y247:Y249" si="616">S247*T247*V247</f>
        <v>-1.8950654088349191E-3</v>
      </c>
      <c r="Z247" s="8">
        <f t="shared" ref="Z247:Z249" si="617">S247*T247*W247</f>
        <v>-1.8204179033513555E-3</v>
      </c>
      <c r="AA247" s="1">
        <f>2*(Q247-$C$5)</f>
        <v>-0.29724618085068188</v>
      </c>
      <c r="AB247" s="1" cm="1">
        <f t="array" ref="AB247">INDEX(H:H, 14 + INT((ROW()-14)/8)*8)</f>
        <v>-4.89527216300145</v>
      </c>
      <c r="AC247" s="1" cm="1">
        <f t="array" ref="AC247">INDEX(I:I, 14 + INT((ROW()-14)/8)*8)</f>
        <v>-4.1626093065759191</v>
      </c>
      <c r="AD247" s="1">
        <f t="shared" ref="AD247:AD249" si="618">N247*(1-N247)</f>
        <v>4.7846195614517743E-2</v>
      </c>
      <c r="AE247" s="1">
        <f t="shared" ref="AE247:AE249" si="619" xml:space="preserve"> O247*(1-O247)</f>
        <v>4.6057570656160951E-2</v>
      </c>
      <c r="AF247" s="1">
        <v>1</v>
      </c>
      <c r="AG247" s="1">
        <f t="shared" ref="AG247:AG249" si="620">J247</f>
        <v>0</v>
      </c>
      <c r="AH247" s="1">
        <f t="shared" ref="AH247:AH249" si="621">K247</f>
        <v>1</v>
      </c>
      <c r="AI247" s="1"/>
      <c r="AJ247" s="1"/>
      <c r="AK247" s="1">
        <v>1</v>
      </c>
      <c r="AL247" s="1">
        <f t="shared" ref="AL247:AL249" si="622">J247</f>
        <v>0</v>
      </c>
      <c r="AM247" s="8">
        <f t="shared" ref="AM247:AM249" si="623">K247</f>
        <v>1</v>
      </c>
      <c r="AN247" s="1">
        <f t="shared" ref="AN247:AN249" si="624">S247*T247*AB247*AD247*AF247</f>
        <v>8.8094479153481113E-3</v>
      </c>
      <c r="AO247" s="1">
        <f t="shared" ref="AO247:AO249" si="625">S247*T247*AB247*AD247*AG247</f>
        <v>0</v>
      </c>
      <c r="AP247" s="1">
        <f t="shared" ref="AP247:AP249" si="626">S247*T247*AB247*AD247*AH247</f>
        <v>8.8094479153481113E-3</v>
      </c>
      <c r="AQ247" s="1">
        <f t="shared" ref="AQ247:AQ249" si="627">S247*T247*AC247*AE247*AK247</f>
        <v>7.2109272864582493E-3</v>
      </c>
      <c r="AR247" s="1">
        <f t="shared" ref="AR247:AR249" si="628">S247*T247*AC247*AE247*AL247</f>
        <v>0</v>
      </c>
      <c r="AS247" s="8">
        <f t="shared" ref="AS247:AS249" si="629">S247*T247*AC247*AE247*AM247</f>
        <v>7.2109272864582493E-3</v>
      </c>
      <c r="AT247" s="1"/>
    </row>
    <row r="248" spans="1:4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3">
        <v>1</v>
      </c>
      <c r="K248" s="3">
        <v>0</v>
      </c>
      <c r="L248" s="1" cm="1">
        <f t="array" ref="L248">INDEX(B:B, 14 + INT((ROW()-14)/8)*8)*J248
+ INDEX(C:C, 14 + INT((ROW()-14)/8)*8)*K248
+ INDEX(A:A, 14 + INT((ROW()-14)/8)*8)</f>
        <v>-1.7979430276486141</v>
      </c>
      <c r="M248" s="1" cm="1">
        <f t="array" ref="M248">INDEX(E:E, 14 + INT((ROW()-14)/8)*8)*J248
+ INDEX(F:F, 14 + INT((ROW()-14)/8)*8)*K248
+ INDEX(D:D, 14 + INT((ROW()-14)/8)*8)</f>
        <v>-3.208637999289115</v>
      </c>
      <c r="N248" s="1">
        <f t="shared" si="609"/>
        <v>0.14210164330118169</v>
      </c>
      <c r="O248" s="1">
        <f t="shared" si="610"/>
        <v>3.8841950452563632E-2</v>
      </c>
      <c r="P248" s="1" cm="1">
        <f t="array" ref="P248">INDEX(H:H, 14 + INT((ROW()-14)/8)*8)*N248
+ INDEX(I:I, 14 + INT((ROW()-14)/8)*8)*O248
+ INDEX(G:G, 14 + INT((ROW()-14)/8)*8)</f>
        <v>1.3362496730427527</v>
      </c>
      <c r="Q248" s="1">
        <f t="shared" si="611"/>
        <v>0.79187252500352967</v>
      </c>
      <c r="R248" s="8">
        <f>($C$6-Q248)^2</f>
        <v>4.3317045848406385E-2</v>
      </c>
      <c r="S248" s="1">
        <f>2*(Q248-$C$6)</f>
        <v>-0.41625494999294066</v>
      </c>
      <c r="T248" s="1">
        <f t="shared" si="612"/>
        <v>0.16481042914806396</v>
      </c>
      <c r="U248" s="1">
        <v>1</v>
      </c>
      <c r="V248" s="1">
        <f t="shared" si="613"/>
        <v>0.14210164330118169</v>
      </c>
      <c r="W248" s="8">
        <f t="shared" si="614"/>
        <v>3.8841950452563632E-2</v>
      </c>
      <c r="X248" s="1">
        <f t="shared" si="615"/>
        <v>-6.8603156943342458E-2</v>
      </c>
      <c r="Y248" s="1">
        <f t="shared" si="616"/>
        <v>-9.7486213372978362E-3</v>
      </c>
      <c r="Z248" s="8">
        <f t="shared" si="617"/>
        <v>-2.6646804228827544E-3</v>
      </c>
      <c r="AA248" s="1">
        <f>2*(Q248-$C$6)</f>
        <v>-0.41625494999294066</v>
      </c>
      <c r="AB248" s="1" cm="1">
        <f t="array" ref="AB248">INDEX(H:H, 14 + INT((ROW()-14)/8)*8)</f>
        <v>-4.89527216300145</v>
      </c>
      <c r="AC248" s="1" cm="1">
        <f t="array" ref="AC248">INDEX(I:I, 14 + INT((ROW()-14)/8)*8)</f>
        <v>-4.1626093065759191</v>
      </c>
      <c r="AD248" s="1">
        <f t="shared" si="618"/>
        <v>0.12190876627228542</v>
      </c>
      <c r="AE248" s="1">
        <f t="shared" si="619"/>
        <v>3.7333253337604226E-2</v>
      </c>
      <c r="AF248" s="1">
        <v>1</v>
      </c>
      <c r="AG248" s="1">
        <f t="shared" si="620"/>
        <v>1</v>
      </c>
      <c r="AH248" s="1">
        <f t="shared" si="621"/>
        <v>0</v>
      </c>
      <c r="AI248" s="1"/>
      <c r="AJ248" s="1"/>
      <c r="AK248" s="1">
        <v>1</v>
      </c>
      <c r="AL248" s="1">
        <f t="shared" si="622"/>
        <v>1</v>
      </c>
      <c r="AM248" s="8">
        <f t="shared" si="623"/>
        <v>0</v>
      </c>
      <c r="AN248" s="1">
        <f t="shared" si="624"/>
        <v>4.0940758061040423E-2</v>
      </c>
      <c r="AO248" s="1">
        <f t="shared" si="625"/>
        <v>4.0940758061040423E-2</v>
      </c>
      <c r="AP248" s="1">
        <f t="shared" si="626"/>
        <v>0</v>
      </c>
      <c r="AQ248" s="1">
        <f t="shared" si="627"/>
        <v>1.0661187699074707E-2</v>
      </c>
      <c r="AR248" s="1">
        <f t="shared" si="628"/>
        <v>1.0661187699074707E-2</v>
      </c>
      <c r="AS248" s="8">
        <f t="shared" si="629"/>
        <v>0</v>
      </c>
      <c r="AT248" s="1"/>
    </row>
    <row r="249" spans="1:4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3">
        <v>1</v>
      </c>
      <c r="K249" s="3">
        <v>1</v>
      </c>
      <c r="L249" s="1" cm="1">
        <f t="array" ref="L249">INDEX(B:B, 14 + INT((ROW()-14)/8)*8)*J249
+ INDEX(C:C, 14 + INT((ROW()-14)/8)*8)*K249
+ INDEX(A:A, 14 + INT((ROW()-14)/8)*8)</f>
        <v>1.2604013172497703</v>
      </c>
      <c r="M249" s="1" cm="1">
        <f t="array" ref="M249">INDEX(E:E, 14 + INT((ROW()-14)/8)*8)*J249
+ INDEX(F:F, 14 + INT((ROW()-14)/8)*8)*K249
+ INDEX(D:D, 14 + INT((ROW()-14)/8)*8)</f>
        <v>-8.5653350223705367</v>
      </c>
      <c r="N249" s="1">
        <f t="shared" si="609"/>
        <v>0.77909518457348781</v>
      </c>
      <c r="O249" s="1">
        <f t="shared" si="610"/>
        <v>1.9056340122641343E-4</v>
      </c>
      <c r="P249" s="1" cm="1">
        <f t="array" ref="P249">INDEX(H:H, 14 + INT((ROW()-14)/8)*8)*N249
+ INDEX(I:I, 14 + INT((ROW()-14)/8)*8)*O249
+ INDEX(G:G, 14 + INT((ROW()-14)/8)*8)</f>
        <v>-1.6211164541073182</v>
      </c>
      <c r="Q249" s="1">
        <f t="shared" si="611"/>
        <v>0.16505095507187095</v>
      </c>
      <c r="R249" s="8">
        <f>($C$7-Q249)^2</f>
        <v>2.7241817770136765E-2</v>
      </c>
      <c r="S249" s="1">
        <f>2*(Q249-$C$7)</f>
        <v>0.33010191014374191</v>
      </c>
      <c r="T249" s="1">
        <f t="shared" si="612"/>
        <v>0.13780913730173419</v>
      </c>
      <c r="U249" s="1">
        <v>1</v>
      </c>
      <c r="V249" s="1">
        <f t="shared" si="613"/>
        <v>0.77909518457348781</v>
      </c>
      <c r="W249" s="8">
        <f t="shared" si="614"/>
        <v>1.9056340122641343E-4</v>
      </c>
      <c r="X249" s="1">
        <f t="shared" si="615"/>
        <v>4.5491059458563653E-2</v>
      </c>
      <c r="Y249" s="1">
        <f t="shared" si="616"/>
        <v>3.5441865365313158E-2</v>
      </c>
      <c r="Z249" s="8">
        <f t="shared" si="617"/>
        <v>8.668931015816896E-6</v>
      </c>
      <c r="AA249" s="1">
        <f>2*(Q249-$C$7)</f>
        <v>0.33010191014374191</v>
      </c>
      <c r="AB249" s="1" cm="1">
        <f t="array" ref="AB249">INDEX(H:H, 14 + INT((ROW()-14)/8)*8)</f>
        <v>-4.89527216300145</v>
      </c>
      <c r="AC249" s="1" cm="1">
        <f t="array" ref="AC249">INDEX(I:I, 14 + INT((ROW()-14)/8)*8)</f>
        <v>-4.1626093065759191</v>
      </c>
      <c r="AD249" s="1">
        <f t="shared" si="618"/>
        <v>0.17210587794789078</v>
      </c>
      <c r="AE249" s="1">
        <f t="shared" si="619"/>
        <v>1.9052708681652648E-4</v>
      </c>
      <c r="AF249" s="1">
        <v>1</v>
      </c>
      <c r="AG249" s="1">
        <f t="shared" si="620"/>
        <v>1</v>
      </c>
      <c r="AH249" s="1">
        <f t="shared" si="621"/>
        <v>1</v>
      </c>
      <c r="AI249" s="1"/>
      <c r="AJ249" s="1"/>
      <c r="AK249" s="1">
        <v>1</v>
      </c>
      <c r="AL249" s="1">
        <f t="shared" si="622"/>
        <v>1</v>
      </c>
      <c r="AM249" s="8">
        <f t="shared" si="623"/>
        <v>1</v>
      </c>
      <c r="AN249" s="1">
        <f t="shared" si="624"/>
        <v>-3.8326450208152438E-2</v>
      </c>
      <c r="AO249" s="1">
        <f t="shared" si="625"/>
        <v>-3.8326450208152438E-2</v>
      </c>
      <c r="AP249" s="1">
        <f t="shared" si="626"/>
        <v>-3.8326450208152438E-2</v>
      </c>
      <c r="AQ249" s="1">
        <f t="shared" si="627"/>
        <v>-3.6078496373105036E-5</v>
      </c>
      <c r="AR249" s="1">
        <f t="shared" si="628"/>
        <v>-3.6078496373105036E-5</v>
      </c>
      <c r="AS249" s="8">
        <f t="shared" si="629"/>
        <v>-3.6078496373105036E-5</v>
      </c>
      <c r="AT249" s="1"/>
    </row>
    <row r="250" spans="1:4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6">
        <f>SUM(R246:R249)</f>
        <v>0.11957921699254617</v>
      </c>
      <c r="S250" s="1"/>
      <c r="T250" s="1"/>
      <c r="U250" s="1"/>
      <c r="V250" s="1"/>
      <c r="W250" s="1"/>
      <c r="X250" s="1">
        <f>AVERAGE(X246:X249)</f>
        <v>-3.9250598002030148E-3</v>
      </c>
      <c r="Y250" s="1">
        <f>AVERAGE(Y246:Y249)</f>
        <v>5.9775235288124446E-3</v>
      </c>
      <c r="Z250" s="1">
        <f>AVERAGE(Z246:Z249)</f>
        <v>9.1816200314693616E-3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>
        <f>AVERAGE(AN246:AN249)</f>
        <v>2.7193151912137323E-3</v>
      </c>
      <c r="AO250" s="1">
        <f>AVERAGE(AO246:AO249)</f>
        <v>6.5357696322199642E-4</v>
      </c>
      <c r="AP250" s="1">
        <f xml:space="preserve"> AVERAGE(AP246:AP249)</f>
        <v>-7.3792505732010816E-3</v>
      </c>
      <c r="AQ250" s="1">
        <f>AVERAGE(AQ246:AQ249)</f>
        <v>8.2032688357878969E-4</v>
      </c>
      <c r="AR250" s="1">
        <f>AVERAGE(AR246:AR249)</f>
        <v>2.6562773006754007E-3</v>
      </c>
      <c r="AS250" s="1">
        <f>AVERAGE(AS246:AS249)</f>
        <v>1.793712197521286E-3</v>
      </c>
      <c r="AT250" s="1"/>
    </row>
    <row r="251" spans="1:4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6" ht="15" thickBot="1" x14ac:dyDescent="0.35">
      <c r="A252" s="1" t="s">
        <v>38</v>
      </c>
      <c r="B252" s="1">
        <v>30</v>
      </c>
      <c r="C252" s="1"/>
      <c r="D252" s="1"/>
      <c r="E252" s="1"/>
      <c r="F252" s="1"/>
      <c r="G252" s="1"/>
      <c r="H252" s="1"/>
      <c r="I252" s="1"/>
      <c r="J252" s="30" t="s">
        <v>7</v>
      </c>
      <c r="K252" s="31"/>
      <c r="L252" s="30" t="s">
        <v>8</v>
      </c>
      <c r="M252" s="31"/>
      <c r="N252" s="30" t="s">
        <v>9</v>
      </c>
      <c r="O252" s="31"/>
      <c r="P252" s="1"/>
      <c r="Q252" s="9" t="s">
        <v>10</v>
      </c>
      <c r="R252" s="10" t="s">
        <v>11</v>
      </c>
      <c r="S252" s="1"/>
      <c r="T252" s="11"/>
      <c r="U252" s="23" t="s">
        <v>13</v>
      </c>
      <c r="V252" s="24"/>
      <c r="W252" s="26"/>
      <c r="X252" s="32" t="s">
        <v>12</v>
      </c>
      <c r="Y252" s="33"/>
      <c r="Z252" s="34"/>
      <c r="AA252" s="35"/>
      <c r="AB252" s="25"/>
      <c r="AC252" s="21"/>
      <c r="AD252" s="22"/>
      <c r="AE252" s="11"/>
      <c r="AF252" s="11"/>
      <c r="AG252" s="23" t="s">
        <v>44</v>
      </c>
      <c r="AH252" s="24"/>
      <c r="AI252" s="25"/>
      <c r="AJ252" s="17"/>
      <c r="AK252" s="17"/>
      <c r="AL252" s="23" t="s">
        <v>45</v>
      </c>
      <c r="AM252" s="24"/>
      <c r="AN252" s="26"/>
      <c r="AO252" s="27" t="s">
        <v>12</v>
      </c>
      <c r="AP252" s="28"/>
      <c r="AQ252" s="28"/>
      <c r="AR252" s="28"/>
      <c r="AS252" s="28"/>
      <c r="AT252" s="29"/>
    </row>
    <row r="253" spans="1:46" ht="15" thickBot="1" x14ac:dyDescent="0.35">
      <c r="A253" s="12" t="s">
        <v>14</v>
      </c>
      <c r="B253" s="12" t="s">
        <v>15</v>
      </c>
      <c r="C253" s="12" t="s">
        <v>16</v>
      </c>
      <c r="D253" s="12" t="s">
        <v>17</v>
      </c>
      <c r="E253" s="12" t="s">
        <v>18</v>
      </c>
      <c r="F253" s="12" t="s">
        <v>19</v>
      </c>
      <c r="G253" s="12" t="s">
        <v>20</v>
      </c>
      <c r="H253" s="12" t="s">
        <v>21</v>
      </c>
      <c r="I253" s="12" t="s">
        <v>22</v>
      </c>
      <c r="J253" s="12" t="s">
        <v>23</v>
      </c>
      <c r="K253" s="12" t="s">
        <v>24</v>
      </c>
      <c r="L253" s="12" t="s">
        <v>39</v>
      </c>
      <c r="M253" s="12" t="s">
        <v>40</v>
      </c>
      <c r="N253" s="12" t="s">
        <v>41</v>
      </c>
      <c r="O253" s="12" t="s">
        <v>42</v>
      </c>
      <c r="P253" s="12" t="s">
        <v>25</v>
      </c>
      <c r="Q253" s="12" t="s">
        <v>26</v>
      </c>
      <c r="R253" s="13" t="s">
        <v>27</v>
      </c>
      <c r="S253" s="12" t="s">
        <v>43</v>
      </c>
      <c r="T253" s="12" t="s">
        <v>31</v>
      </c>
      <c r="U253" s="12" t="s">
        <v>28</v>
      </c>
      <c r="V253" s="12" t="s">
        <v>29</v>
      </c>
      <c r="W253" s="13" t="s">
        <v>30</v>
      </c>
      <c r="X253" s="12" t="s">
        <v>28</v>
      </c>
      <c r="Y253" s="12" t="s">
        <v>29</v>
      </c>
      <c r="Z253" s="13" t="s">
        <v>30</v>
      </c>
      <c r="AA253" s="12" t="s">
        <v>50</v>
      </c>
      <c r="AB253" s="12" t="s">
        <v>48</v>
      </c>
      <c r="AC253" s="12" t="s">
        <v>49</v>
      </c>
      <c r="AD253" s="12" t="s">
        <v>46</v>
      </c>
      <c r="AE253" s="12" t="s">
        <v>47</v>
      </c>
      <c r="AF253" s="12" t="s">
        <v>32</v>
      </c>
      <c r="AG253" s="12" t="s">
        <v>33</v>
      </c>
      <c r="AH253" s="12" t="s">
        <v>34</v>
      </c>
      <c r="AI253" s="12"/>
      <c r="AJ253" s="12"/>
      <c r="AK253" s="12" t="s">
        <v>35</v>
      </c>
      <c r="AL253" s="12" t="s">
        <v>36</v>
      </c>
      <c r="AM253" s="13" t="s">
        <v>37</v>
      </c>
      <c r="AN253" s="12" t="s">
        <v>32</v>
      </c>
      <c r="AO253" s="12" t="s">
        <v>33</v>
      </c>
      <c r="AP253" s="12" t="s">
        <v>34</v>
      </c>
      <c r="AQ253" s="12" t="s">
        <v>35</v>
      </c>
      <c r="AR253" s="12" t="s">
        <v>36</v>
      </c>
      <c r="AS253" s="13" t="s">
        <v>37</v>
      </c>
      <c r="AT253" s="1"/>
    </row>
    <row r="254" spans="1:46" ht="15" thickBot="1" x14ac:dyDescent="0.35">
      <c r="A254" s="3" cm="1">
        <f t="array" ref="A254">INDEX(A:A, 14 + INT((ROW()-18)/8)*8)
 - $C$9 *
 INDEX(AN:AN, 18 + INT((ROW()-18)/8)*8)</f>
        <v>-6.0083076779621782</v>
      </c>
      <c r="B254" s="3" cm="1">
        <f t="array" ref="B254">INDEX(B:B, 14 + INT((ROW()-18)/8)*8)
 - $C$9 *
 INDEX(AO:AO, 18 + INT((ROW()-18)/8)*8)</f>
        <v>4.1935001895413855</v>
      </c>
      <c r="C254" s="3" cm="1">
        <f t="array" ref="C254">INDEX(C:C, 14 + INT((ROW()-18)/8)*8)
 - $C$9 *
 INDEX(AP:AP, 18 + INT((ROW()-18)/8)*8)</f>
        <v>3.0952405977643904</v>
      </c>
      <c r="D254" s="3" cm="1">
        <f t="array" ref="D254">INDEX(D:D, 14 + INT((ROW()-18)/8)*8)
 - $C$9 *
 INDEX(AQ:AQ, 18 + INT((ROW()-18)/8)*8)</f>
        <v>2.3739535647959342</v>
      </c>
      <c r="E254" s="3" cm="1">
        <f t="array" ref="E254">INDEX(E:E, 14 + INT((ROW()-18)/8)*8)
 - $C$9 *
 INDEX(AR:AR, 18 + INT((ROW()-18)/8)*8)</f>
        <v>-5.5999745850063203</v>
      </c>
      <c r="F254" s="3" cm="1">
        <f t="array" ref="F254">INDEX(F:F, 14 + INT((ROW()-18)/8)*8)
 - $C$9 *
 INDEX(AS:AS, 18 + INT((ROW()-18)/8)*8)</f>
        <v>-5.3656655840690277</v>
      </c>
      <c r="G254" s="3" cm="1">
        <f t="array" ref="G254">INDEX(G:G, 14 + INT((ROW()-18)/8)*8)
 - $C$9 *
 INDEX(X:X, 18 + INT((ROW()-18)/8)*8)</f>
        <v>2.2131850552522061</v>
      </c>
      <c r="H254" s="3" cm="1">
        <f t="array" ref="H254">INDEX(H:H, 14 + INT((ROW()-18)/8)*8)
 - $C$9 *
 INDEX(Y:Y, 18 + INT((ROW()-18)/8)*8)</f>
        <v>-4.9251597806455125</v>
      </c>
      <c r="I254" s="3" cm="1">
        <f t="array" ref="I254">INDEX(I:I, 14 + INT((ROW()-18)/8)*8)
 - $C$9 *
 INDEX(Z:Z, 18 + INT((ROW()-18)/8)*8)</f>
        <v>-4.2085174067332662</v>
      </c>
      <c r="J254" s="3">
        <v>0</v>
      </c>
      <c r="K254" s="3">
        <v>0</v>
      </c>
      <c r="L254" s="1" cm="1">
        <f t="array" ref="L254">INDEX(B:B, 14 + INT((ROW()-14)/8)*8)*J254
+ INDEX(C:C, 14 + INT((ROW()-14)/8)*8)*K254
+ INDEX(A:A, 14 + INT((ROW()-14)/8)*8)</f>
        <v>-6.0083076779621782</v>
      </c>
      <c r="M254" s="1" cm="1">
        <f t="array" ref="M254">INDEX(E:E, 14 + INT((ROW()-14)/8)*8)*J254
+ INDEX(F:F, 14 + INT((ROW()-14)/8)*8)*K254
+ INDEX(D:D, 14 + INT((ROW()-14)/8)*8)</f>
        <v>2.3739535647959342</v>
      </c>
      <c r="N254" s="1">
        <f>1/(1+EXP(-L254))</f>
        <v>2.4522166552539771E-3</v>
      </c>
      <c r="O254" s="1">
        <f>1/(1+EXP(-M254))</f>
        <v>0.91481944709998098</v>
      </c>
      <c r="P254" s="1" cm="1">
        <f t="array" ref="P254">INDEX(H:H, 14 + INT((ROW()-14)/8)*8)*N254
+ INDEX(I:I, 14 + INT((ROW()-14)/8)*8)*O254
+ INDEX(G:G, 14 + INT((ROW()-14)/8)*8)</f>
        <v>-1.6489260707300524</v>
      </c>
      <c r="Q254" s="1">
        <f>1/(1+EXP(-P254))</f>
        <v>0.16125414701442856</v>
      </c>
      <c r="R254" s="8">
        <f>($C$4-Q254)^2</f>
        <v>2.6002899929350939E-2</v>
      </c>
      <c r="S254" s="1">
        <f>2*(Q254-$C$4)</f>
        <v>0.32250829402885711</v>
      </c>
      <c r="T254" s="1">
        <f>Q254*(1-Q254)</f>
        <v>0.13525124708507763</v>
      </c>
      <c r="U254" s="1">
        <v>1</v>
      </c>
      <c r="V254" s="1">
        <f>N254</f>
        <v>2.4522166552539771E-3</v>
      </c>
      <c r="W254" s="8">
        <f>O254</f>
        <v>0.91481944709998098</v>
      </c>
      <c r="X254" s="1">
        <f>S254*T254*U254</f>
        <v>4.3619648962683819E-2</v>
      </c>
      <c r="Y254" s="1">
        <f>S254*T254*V254</f>
        <v>1.0696482968262512E-4</v>
      </c>
      <c r="Z254" s="8">
        <f>S254*T254*W254</f>
        <v>3.9904103146737667E-2</v>
      </c>
      <c r="AA254" s="1">
        <f>2*(Q254-$C$4)</f>
        <v>0.32250829402885711</v>
      </c>
      <c r="AB254" s="1" cm="1">
        <f t="array" ref="AB254">INDEX(H:H, 14 + INT((ROW()-14)/8)*8)</f>
        <v>-4.9251597806455125</v>
      </c>
      <c r="AC254" s="1" cm="1">
        <f t="array" ref="AC254">INDEX(I:I, 14 + INT((ROW()-14)/8)*8)</f>
        <v>-4.2085174067332662</v>
      </c>
      <c r="AD254" s="1">
        <f>N254*(1-N254)</f>
        <v>2.4462032887296722E-3</v>
      </c>
      <c r="AE254" s="1">
        <f xml:space="preserve"> O254*(1-O254)</f>
        <v>7.792482630766609E-2</v>
      </c>
      <c r="AF254" s="1">
        <v>1</v>
      </c>
      <c r="AG254" s="1">
        <f>J254</f>
        <v>0</v>
      </c>
      <c r="AH254" s="1">
        <f>K254</f>
        <v>0</v>
      </c>
      <c r="AI254" s="1"/>
      <c r="AJ254" s="1"/>
      <c r="AK254" s="1">
        <v>1</v>
      </c>
      <c r="AL254" s="1">
        <f>J254</f>
        <v>0</v>
      </c>
      <c r="AM254" s="8">
        <f>K254</f>
        <v>0</v>
      </c>
      <c r="AN254" s="1">
        <f>S254*T254*AB254*AD254*AF254</f>
        <v>-5.2552700307174449E-4</v>
      </c>
      <c r="AO254" s="1">
        <f>S254*T254*AB254*AD254*AG254</f>
        <v>0</v>
      </c>
      <c r="AP254" s="1">
        <f>S254*T254*AB254*AD254*AH254</f>
        <v>0</v>
      </c>
      <c r="AQ254" s="1">
        <f>S254*T254*AC254*AE254*AK254</f>
        <v>-1.4304976111633207E-2</v>
      </c>
      <c r="AR254" s="1">
        <f>S254*T254*AC254*AE254*AL254</f>
        <v>0</v>
      </c>
      <c r="AS254" s="8">
        <f>S254*T254*AC254*AE254*AM254</f>
        <v>0</v>
      </c>
      <c r="AT254" s="1"/>
    </row>
    <row r="255" spans="1:4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3">
        <v>0</v>
      </c>
      <c r="K255" s="3">
        <v>1</v>
      </c>
      <c r="L255" s="1" cm="1">
        <f t="array" ref="L255">INDEX(B:B, 14 + INT((ROW()-14)/8)*8)*J255
+ INDEX(C:C, 14 + INT((ROW()-14)/8)*8)*K255
+ INDEX(A:A, 14 + INT((ROW()-14)/8)*8)</f>
        <v>-2.9130670801977878</v>
      </c>
      <c r="M255" s="1" cm="1">
        <f t="array" ref="M255">INDEX(E:E, 14 + INT((ROW()-14)/8)*8)*J255
+ INDEX(F:F, 14 + INT((ROW()-14)/8)*8)*K255
+ INDEX(D:D, 14 + INT((ROW()-14)/8)*8)</f>
        <v>-2.9917120192730935</v>
      </c>
      <c r="N255" s="1">
        <f t="shared" ref="N255:N257" si="630">1/(1+EXP(-L255))</f>
        <v>5.1511377903059929E-2</v>
      </c>
      <c r="O255" s="1">
        <f t="shared" ref="O255:O257" si="631">1/(1+EXP(-M255))</f>
        <v>4.7801704024949064E-2</v>
      </c>
      <c r="P255" s="1" cm="1">
        <f t="array" ref="P255">INDEX(H:H, 14 + INT((ROW()-14)/8)*8)*N255
+ INDEX(I:I, 14 + INT((ROW()-14)/8)*8)*O255
+ INDEX(G:G, 14 + INT((ROW()-14)/8)*8)</f>
        <v>1.7583089850979134</v>
      </c>
      <c r="Q255" s="1">
        <f t="shared" ref="Q255:Q257" si="632">1/(1+EXP(-P255))</f>
        <v>0.8529977460053535</v>
      </c>
      <c r="R255" s="8">
        <f>($C$5-Q255)^2</f>
        <v>2.1609662679506564E-2</v>
      </c>
      <c r="S255" s="1">
        <f>2*(Q255-$C$5)</f>
        <v>-0.29400450798929301</v>
      </c>
      <c r="T255" s="1">
        <f t="shared" ref="T255:T257" si="633">Q255*(1-Q255)</f>
        <v>0.12539259131513994</v>
      </c>
      <c r="U255" s="1">
        <v>1</v>
      </c>
      <c r="V255" s="1">
        <f t="shared" ref="V255:V257" si="634">N255</f>
        <v>5.1511377903059929E-2</v>
      </c>
      <c r="W255" s="8">
        <f t="shared" ref="W255:W257" si="635">O255</f>
        <v>4.7801704024949064E-2</v>
      </c>
      <c r="X255" s="1">
        <f t="shared" ref="X255:X257" si="636">S255*T255*U255</f>
        <v>-3.6865987115110216E-2</v>
      </c>
      <c r="Y255" s="1">
        <f t="shared" ref="Y255:Y257" si="637">S255*T255*V255</f>
        <v>-1.8990177940557804E-3</v>
      </c>
      <c r="Z255" s="8">
        <f t="shared" ref="Z255:Z257" si="638">S255*T255*W255</f>
        <v>-1.7622570046640844E-3</v>
      </c>
      <c r="AA255" s="1">
        <f>2*(Q255-$C$5)</f>
        <v>-0.29400450798929301</v>
      </c>
      <c r="AB255" s="1" cm="1">
        <f t="array" ref="AB255">INDEX(H:H, 14 + INT((ROW()-14)/8)*8)</f>
        <v>-4.9251597806455125</v>
      </c>
      <c r="AC255" s="1" cm="1">
        <f t="array" ref="AC255">INDEX(I:I, 14 + INT((ROW()-14)/8)*8)</f>
        <v>-4.2085174067332662</v>
      </c>
      <c r="AD255" s="1">
        <f t="shared" ref="AD255:AD257" si="639">N255*(1-N255)</f>
        <v>4.8857955849588082E-2</v>
      </c>
      <c r="AE255" s="1">
        <f t="shared" ref="AE255:AE257" si="640" xml:space="preserve"> O255*(1-O255)</f>
        <v>4.5516701117260229E-2</v>
      </c>
      <c r="AF255" s="1">
        <v>1</v>
      </c>
      <c r="AG255" s="1">
        <f t="shared" ref="AG255:AG257" si="641">J255</f>
        <v>0</v>
      </c>
      <c r="AH255" s="1">
        <f t="shared" ref="AH255:AH257" si="642">K255</f>
        <v>1</v>
      </c>
      <c r="AI255" s="1"/>
      <c r="AJ255" s="1"/>
      <c r="AK255" s="1">
        <v>1</v>
      </c>
      <c r="AL255" s="1">
        <f t="shared" ref="AL255:AL257" si="643">J255</f>
        <v>0</v>
      </c>
      <c r="AM255" s="8">
        <f t="shared" ref="AM255:AM257" si="644">K255</f>
        <v>1</v>
      </c>
      <c r="AN255" s="1">
        <f t="shared" ref="AN255:AN257" si="645">S255*T255*AB255*AD255*AF255</f>
        <v>8.8711818926788116E-3</v>
      </c>
      <c r="AO255" s="1">
        <f t="shared" ref="AO255:AO257" si="646">S255*T255*AB255*AD255*AG255</f>
        <v>0</v>
      </c>
      <c r="AP255" s="1">
        <f t="shared" ref="AP255:AP257" si="647">S255*T255*AB255*AD255*AH255</f>
        <v>8.8711818926788116E-3</v>
      </c>
      <c r="AQ255" s="1">
        <f t="shared" ref="AQ255:AQ257" si="648">S255*T255*AC255*AE255*AK255</f>
        <v>7.0619684538347233E-3</v>
      </c>
      <c r="AR255" s="1">
        <f t="shared" ref="AR255:AR257" si="649">S255*T255*AC255*AE255*AL255</f>
        <v>0</v>
      </c>
      <c r="AS255" s="8">
        <f t="shared" ref="AS255:AS257" si="650">S255*T255*AC255*AE255*AM255</f>
        <v>7.0619684538347233E-3</v>
      </c>
      <c r="AT255" s="1"/>
    </row>
    <row r="256" spans="1:4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3">
        <v>1</v>
      </c>
      <c r="K256" s="3">
        <v>0</v>
      </c>
      <c r="L256" s="1" cm="1">
        <f t="array" ref="L256">INDEX(B:B, 14 + INT((ROW()-14)/8)*8)*J256
+ INDEX(C:C, 14 + INT((ROW()-14)/8)*8)*K256
+ INDEX(A:A, 14 + INT((ROW()-14)/8)*8)</f>
        <v>-1.8148074884207928</v>
      </c>
      <c r="M256" s="1" cm="1">
        <f t="array" ref="M256">INDEX(E:E, 14 + INT((ROW()-14)/8)*8)*J256
+ INDEX(F:F, 14 + INT((ROW()-14)/8)*8)*K256
+ INDEX(D:D, 14 + INT((ROW()-14)/8)*8)</f>
        <v>-3.2260210202103861</v>
      </c>
      <c r="N256" s="1">
        <f t="shared" si="630"/>
        <v>0.14005810046785033</v>
      </c>
      <c r="O256" s="1">
        <f t="shared" si="631"/>
        <v>3.819816274800171E-2</v>
      </c>
      <c r="P256" s="1" cm="1">
        <f t="array" ref="P256">INDEX(H:H, 14 + INT((ROW()-14)/8)*8)*N256
+ INDEX(I:I, 14 + INT((ROW()-14)/8)*8)*O256
+ INDEX(G:G, 14 + INT((ROW()-14)/8)*8)</f>
        <v>1.3626188990441457</v>
      </c>
      <c r="Q256" s="1">
        <f t="shared" si="632"/>
        <v>0.79618500775562939</v>
      </c>
      <c r="R256" s="8">
        <f>($C$6-Q256)^2</f>
        <v>4.154055106357285E-2</v>
      </c>
      <c r="S256" s="1">
        <f>2*(Q256-$C$6)</f>
        <v>-0.40762998448874121</v>
      </c>
      <c r="T256" s="1">
        <f t="shared" si="633"/>
        <v>0.16227444118079776</v>
      </c>
      <c r="U256" s="1">
        <v>1</v>
      </c>
      <c r="V256" s="1">
        <f t="shared" si="634"/>
        <v>0.14005810046785033</v>
      </c>
      <c r="W256" s="8">
        <f t="shared" si="635"/>
        <v>3.819816274800171E-2</v>
      </c>
      <c r="X256" s="1">
        <f t="shared" si="636"/>
        <v>-6.6147927941447734E-2</v>
      </c>
      <c r="Y256" s="1">
        <f t="shared" si="637"/>
        <v>-9.2645531373634106E-3</v>
      </c>
      <c r="Z256" s="8">
        <f t="shared" si="638"/>
        <v>-2.5267293169505102E-3</v>
      </c>
      <c r="AA256" s="1">
        <f>2*(Q256-$C$6)</f>
        <v>-0.40762998448874121</v>
      </c>
      <c r="AB256" s="1" cm="1">
        <f t="array" ref="AB256">INDEX(H:H, 14 + INT((ROW()-14)/8)*8)</f>
        <v>-4.9251597806455125</v>
      </c>
      <c r="AC256" s="1" cm="1">
        <f t="array" ref="AC256">INDEX(I:I, 14 + INT((ROW()-14)/8)*8)</f>
        <v>-4.2085174067332662</v>
      </c>
      <c r="AD256" s="1">
        <f t="shared" si="639"/>
        <v>0.12044182896118788</v>
      </c>
      <c r="AE256" s="1">
        <f t="shared" si="640"/>
        <v>3.6739063110678885E-2</v>
      </c>
      <c r="AF256" s="1">
        <v>1</v>
      </c>
      <c r="AG256" s="1">
        <f t="shared" si="641"/>
        <v>1</v>
      </c>
      <c r="AH256" s="1">
        <f t="shared" si="642"/>
        <v>0</v>
      </c>
      <c r="AI256" s="1"/>
      <c r="AJ256" s="1"/>
      <c r="AK256" s="1">
        <v>1</v>
      </c>
      <c r="AL256" s="1">
        <f t="shared" si="643"/>
        <v>1</v>
      </c>
      <c r="AM256" s="8">
        <f t="shared" si="644"/>
        <v>0</v>
      </c>
      <c r="AN256" s="1">
        <f t="shared" si="645"/>
        <v>3.9238636778355054E-2</v>
      </c>
      <c r="AO256" s="1">
        <f t="shared" si="646"/>
        <v>3.9238636778355054E-2</v>
      </c>
      <c r="AP256" s="1">
        <f t="shared" si="647"/>
        <v>0</v>
      </c>
      <c r="AQ256" s="1">
        <f t="shared" si="648"/>
        <v>1.0227593288693859E-2</v>
      </c>
      <c r="AR256" s="1">
        <f t="shared" si="649"/>
        <v>1.0227593288693859E-2</v>
      </c>
      <c r="AS256" s="8">
        <f t="shared" si="650"/>
        <v>0</v>
      </c>
      <c r="AT256" s="1"/>
    </row>
    <row r="257" spans="1:4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3">
        <v>1</v>
      </c>
      <c r="K257" s="3">
        <v>1</v>
      </c>
      <c r="L257" s="1" cm="1">
        <f t="array" ref="L257">INDEX(B:B, 14 + INT((ROW()-14)/8)*8)*J257
+ INDEX(C:C, 14 + INT((ROW()-14)/8)*8)*K257
+ INDEX(A:A, 14 + INT((ROW()-14)/8)*8)</f>
        <v>1.2804331093435977</v>
      </c>
      <c r="M257" s="1" cm="1">
        <f t="array" ref="M257">INDEX(E:E, 14 + INT((ROW()-14)/8)*8)*J257
+ INDEX(F:F, 14 + INT((ROW()-14)/8)*8)*K257
+ INDEX(D:D, 14 + INT((ROW()-14)/8)*8)</f>
        <v>-8.5916866042794133</v>
      </c>
      <c r="N257" s="1">
        <f t="shared" si="630"/>
        <v>0.78252349219649309</v>
      </c>
      <c r="O257" s="1">
        <f t="shared" si="631"/>
        <v>1.8560826083978798E-4</v>
      </c>
      <c r="P257" s="1" cm="1">
        <f t="array" ref="P257">INDEX(H:H, 14 + INT((ROW()-14)/8)*8)*N257
+ INDEX(I:I, 14 + INT((ROW()-14)/8)*8)*O257
+ INDEX(G:G, 14 + INT((ROW()-14)/8)*8)</f>
        <v>-1.6416493115208119</v>
      </c>
      <c r="Q257" s="1">
        <f t="shared" si="632"/>
        <v>0.16224076540537927</v>
      </c>
      <c r="R257" s="8">
        <f>($C$7-Q257)^2</f>
        <v>2.632206595932331E-2</v>
      </c>
      <c r="S257" s="1">
        <f>2*(Q257-$C$7)</f>
        <v>0.32448153081075853</v>
      </c>
      <c r="T257" s="1">
        <f t="shared" si="633"/>
        <v>0.13591869944605597</v>
      </c>
      <c r="U257" s="1">
        <v>1</v>
      </c>
      <c r="V257" s="1">
        <f t="shared" si="634"/>
        <v>0.78252349219649309</v>
      </c>
      <c r="W257" s="8">
        <f t="shared" si="635"/>
        <v>1.8560826083978798E-4</v>
      </c>
      <c r="X257" s="1">
        <f t="shared" si="636"/>
        <v>4.4103107662063643E-2</v>
      </c>
      <c r="Y257" s="1">
        <f t="shared" si="637"/>
        <v>3.4511717824435954E-2</v>
      </c>
      <c r="Z257" s="8">
        <f t="shared" si="638"/>
        <v>8.1859011107855602E-6</v>
      </c>
      <c r="AA257" s="1">
        <f>2*(Q257-$C$7)</f>
        <v>0.32448153081075853</v>
      </c>
      <c r="AB257" s="1" cm="1">
        <f t="array" ref="AB257">INDEX(H:H, 14 + INT((ROW()-14)/8)*8)</f>
        <v>-4.9251597806455125</v>
      </c>
      <c r="AC257" s="1" cm="1">
        <f t="array" ref="AC257">INDEX(I:I, 14 + INT((ROW()-14)/8)*8)</f>
        <v>-4.2085174067332662</v>
      </c>
      <c r="AD257" s="1">
        <f t="shared" si="639"/>
        <v>0.1701804763570981</v>
      </c>
      <c r="AE257" s="1">
        <f t="shared" si="640"/>
        <v>1.8557381041329601E-4</v>
      </c>
      <c r="AF257" s="1">
        <v>1</v>
      </c>
      <c r="AG257" s="1">
        <f t="shared" si="641"/>
        <v>1</v>
      </c>
      <c r="AH257" s="1">
        <f t="shared" si="642"/>
        <v>1</v>
      </c>
      <c r="AI257" s="1"/>
      <c r="AJ257" s="1"/>
      <c r="AK257" s="1">
        <v>1</v>
      </c>
      <c r="AL257" s="1">
        <f t="shared" si="643"/>
        <v>1</v>
      </c>
      <c r="AM257" s="8">
        <f t="shared" si="644"/>
        <v>1</v>
      </c>
      <c r="AN257" s="1">
        <f t="shared" si="645"/>
        <v>-3.6965726995181865E-2</v>
      </c>
      <c r="AO257" s="1">
        <f t="shared" si="646"/>
        <v>-3.6965726995181865E-2</v>
      </c>
      <c r="AP257" s="1">
        <f t="shared" si="647"/>
        <v>-3.6965726995181865E-2</v>
      </c>
      <c r="AQ257" s="1">
        <f t="shared" si="648"/>
        <v>-3.444411301579051E-5</v>
      </c>
      <c r="AR257" s="1">
        <f t="shared" si="649"/>
        <v>-3.444411301579051E-5</v>
      </c>
      <c r="AS257" s="8">
        <f t="shared" si="650"/>
        <v>-3.444411301579051E-5</v>
      </c>
      <c r="AT257" s="1"/>
    </row>
    <row r="258" spans="1:4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6">
        <f>SUM(R254:R257)</f>
        <v>0.11547517963175366</v>
      </c>
      <c r="S258" s="1"/>
      <c r="T258" s="1"/>
      <c r="U258" s="1"/>
      <c r="V258" s="1"/>
      <c r="W258" s="1"/>
      <c r="X258" s="1">
        <f>AVERAGE(X254:X257)</f>
        <v>-3.8227896079526223E-3</v>
      </c>
      <c r="Y258" s="1">
        <f>AVERAGE(Y254:Y257)</f>
        <v>5.8637779306748468E-3</v>
      </c>
      <c r="Z258" s="1">
        <f>AVERAGE(Z254:Z257)</f>
        <v>8.9058256815584633E-3</v>
      </c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>
        <f>AVERAGE(AN254:AN257)</f>
        <v>2.6546411681950648E-3</v>
      </c>
      <c r="AO258" s="1">
        <f>AVERAGE(AO254:AO257)</f>
        <v>5.6822744579329738E-4</v>
      </c>
      <c r="AP258" s="1">
        <f xml:space="preserve"> AVERAGE(AP254:AP257)</f>
        <v>-7.0236362756257633E-3</v>
      </c>
      <c r="AQ258" s="1">
        <f>AVERAGE(AQ254:AQ257)</f>
        <v>7.3753537946989625E-4</v>
      </c>
      <c r="AR258" s="1">
        <f>AVERAGE(AR254:AR257)</f>
        <v>2.548287293919517E-3</v>
      </c>
      <c r="AS258" s="1">
        <f>AVERAGE(AS254:AS257)</f>
        <v>1.7568810852047333E-3</v>
      </c>
      <c r="AT258" s="1"/>
    </row>
    <row r="259" spans="1:4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8"/>
      <c r="S267" s="36"/>
      <c r="T267" s="37"/>
      <c r="U267" s="37"/>
      <c r="V267" s="37"/>
      <c r="W267" s="37"/>
      <c r="X267" s="37"/>
      <c r="Y267" s="37"/>
      <c r="Z267" s="38"/>
      <c r="AA267" s="36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8"/>
      <c r="AS267" s="1"/>
    </row>
    <row r="268" spans="1:46" ht="15" thickBot="1" x14ac:dyDescent="0.35">
      <c r="A268" s="1"/>
      <c r="B268" s="3"/>
      <c r="C268" s="1"/>
      <c r="D268" s="1"/>
      <c r="E268" s="1"/>
      <c r="F268" s="1"/>
      <c r="G268" s="1"/>
      <c r="H268" s="1"/>
      <c r="I268" s="1"/>
      <c r="J268" s="30"/>
      <c r="K268" s="31"/>
      <c r="L268" s="30"/>
      <c r="M268" s="31"/>
      <c r="N268" s="30"/>
      <c r="O268" s="31"/>
      <c r="P268" s="1"/>
      <c r="Q268" s="9"/>
      <c r="R268" s="10"/>
      <c r="S268" s="1"/>
      <c r="T268" s="11"/>
      <c r="U268" s="23"/>
      <c r="V268" s="24"/>
      <c r="W268" s="26"/>
      <c r="X268" s="32"/>
      <c r="Y268" s="33"/>
      <c r="Z268" s="34"/>
      <c r="AA268" s="35"/>
      <c r="AB268" s="25"/>
      <c r="AC268" s="21"/>
      <c r="AD268" s="22"/>
      <c r="AE268" s="11"/>
      <c r="AF268" s="11"/>
      <c r="AG268" s="23"/>
      <c r="AH268" s="24"/>
      <c r="AI268" s="25"/>
      <c r="AJ268" s="23"/>
      <c r="AK268" s="24"/>
      <c r="AL268" s="26"/>
      <c r="AM268" s="27"/>
      <c r="AN268" s="28"/>
      <c r="AO268" s="28"/>
      <c r="AP268" s="28"/>
      <c r="AQ268" s="28"/>
      <c r="AR268" s="29"/>
      <c r="AS268" s="1"/>
    </row>
    <row r="269" spans="1:46" ht="15" thickBot="1" x14ac:dyDescent="0.3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3"/>
      <c r="S269" s="12"/>
      <c r="T269" s="12"/>
      <c r="U269" s="12"/>
      <c r="V269" s="12"/>
      <c r="W269" s="13"/>
      <c r="X269" s="12"/>
      <c r="Y269" s="12"/>
      <c r="Z269" s="13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3"/>
      <c r="AM269" s="12"/>
      <c r="AN269" s="12"/>
      <c r="AO269" s="12"/>
      <c r="AP269" s="12"/>
      <c r="AQ269" s="12"/>
      <c r="AR269" s="13"/>
      <c r="AS269" s="1"/>
    </row>
    <row r="270" spans="1:4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8"/>
      <c r="S270" s="1"/>
      <c r="T270" s="1"/>
      <c r="U270" s="1"/>
      <c r="V270" s="1"/>
      <c r="W270" s="8"/>
      <c r="X270" s="1"/>
      <c r="Y270" s="1"/>
      <c r="Z270" s="8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8"/>
      <c r="AM270" s="1"/>
      <c r="AN270" s="1"/>
      <c r="AO270" s="1"/>
      <c r="AP270" s="1"/>
      <c r="AQ270" s="1"/>
      <c r="AR270" s="8"/>
      <c r="AS270" s="1"/>
    </row>
    <row r="271" spans="1:4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8"/>
      <c r="S271" s="1"/>
      <c r="T271" s="1"/>
      <c r="U271" s="1"/>
      <c r="V271" s="1"/>
      <c r="W271" s="8"/>
      <c r="X271" s="1"/>
      <c r="Y271" s="1"/>
      <c r="Z271" s="8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8"/>
      <c r="AM271" s="1"/>
      <c r="AN271" s="1"/>
      <c r="AO271" s="1"/>
      <c r="AP271" s="1"/>
      <c r="AQ271" s="1"/>
      <c r="AR271" s="8"/>
      <c r="AS271" s="1"/>
    </row>
    <row r="272" spans="1:4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8"/>
      <c r="S272" s="1"/>
      <c r="T272" s="1"/>
      <c r="U272" s="1"/>
      <c r="V272" s="1"/>
      <c r="W272" s="8"/>
      <c r="X272" s="1"/>
      <c r="Y272" s="1"/>
      <c r="Z272" s="8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8"/>
      <c r="AM272" s="1"/>
      <c r="AN272" s="1"/>
      <c r="AO272" s="1"/>
      <c r="AP272" s="1"/>
      <c r="AQ272" s="1"/>
      <c r="AR272" s="8"/>
      <c r="AS272" s="1"/>
    </row>
    <row r="273" spans="1:45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4"/>
      <c r="S273" s="1"/>
      <c r="T273" s="1"/>
      <c r="U273" s="1"/>
      <c r="V273" s="1"/>
      <c r="W273" s="8"/>
      <c r="X273" s="15"/>
      <c r="Y273" s="15"/>
      <c r="Z273" s="14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8"/>
      <c r="AM273" s="15"/>
      <c r="AN273" s="15"/>
      <c r="AO273" s="15"/>
      <c r="AP273" s="15"/>
      <c r="AQ273" s="15"/>
      <c r="AR273" s="14"/>
      <c r="AS273" s="1"/>
    </row>
    <row r="274" spans="1:45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8"/>
      <c r="S282" s="36"/>
      <c r="T282" s="37"/>
      <c r="U282" s="37"/>
      <c r="V282" s="37"/>
      <c r="W282" s="37"/>
      <c r="X282" s="37"/>
      <c r="Y282" s="37"/>
      <c r="Z282" s="38"/>
      <c r="AA282" s="36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8"/>
      <c r="AS282" s="1"/>
    </row>
    <row r="283" spans="1:45" ht="15" thickBot="1" x14ac:dyDescent="0.35">
      <c r="A283" s="1"/>
      <c r="B283" s="3"/>
      <c r="C283" s="1"/>
      <c r="D283" s="1"/>
      <c r="E283" s="1"/>
      <c r="F283" s="1"/>
      <c r="G283" s="1"/>
      <c r="H283" s="1"/>
      <c r="I283" s="1"/>
      <c r="J283" s="30"/>
      <c r="K283" s="31"/>
      <c r="L283" s="30"/>
      <c r="M283" s="31"/>
      <c r="N283" s="30"/>
      <c r="O283" s="31"/>
      <c r="P283" s="1"/>
      <c r="Q283" s="9"/>
      <c r="R283" s="10"/>
      <c r="S283" s="1"/>
      <c r="T283" s="11"/>
      <c r="U283" s="23"/>
      <c r="V283" s="24"/>
      <c r="W283" s="26"/>
      <c r="X283" s="32"/>
      <c r="Y283" s="33"/>
      <c r="Z283" s="34"/>
      <c r="AA283" s="35"/>
      <c r="AB283" s="25"/>
      <c r="AC283" s="21"/>
      <c r="AD283" s="22"/>
      <c r="AE283" s="11"/>
      <c r="AF283" s="11"/>
      <c r="AG283" s="23"/>
      <c r="AH283" s="24"/>
      <c r="AI283" s="25"/>
      <c r="AJ283" s="23"/>
      <c r="AK283" s="24"/>
      <c r="AL283" s="26"/>
      <c r="AM283" s="27"/>
      <c r="AN283" s="28"/>
      <c r="AO283" s="28"/>
      <c r="AP283" s="28"/>
      <c r="AQ283" s="28"/>
      <c r="AR283" s="29"/>
      <c r="AS283" s="1"/>
    </row>
    <row r="284" spans="1:45" ht="15" thickBot="1" x14ac:dyDescent="0.3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3"/>
      <c r="S284" s="12"/>
      <c r="T284" s="12"/>
      <c r="U284" s="12"/>
      <c r="V284" s="12"/>
      <c r="W284" s="13"/>
      <c r="X284" s="12"/>
      <c r="Y284" s="12"/>
      <c r="Z284" s="13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3"/>
      <c r="AM284" s="12"/>
      <c r="AN284" s="12"/>
      <c r="AO284" s="12"/>
      <c r="AP284" s="12"/>
      <c r="AQ284" s="12"/>
      <c r="AR284" s="13"/>
      <c r="AS284" s="1"/>
    </row>
    <row r="285" spans="1:45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8"/>
      <c r="S285" s="1"/>
      <c r="T285" s="1"/>
      <c r="U285" s="1"/>
      <c r="V285" s="1"/>
      <c r="W285" s="8"/>
      <c r="X285" s="1"/>
      <c r="Y285" s="1"/>
      <c r="Z285" s="8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8"/>
      <c r="AM285" s="1"/>
      <c r="AN285" s="1"/>
      <c r="AO285" s="1"/>
      <c r="AP285" s="1"/>
      <c r="AQ285" s="1"/>
      <c r="AR285" s="8"/>
      <c r="AS285" s="1"/>
    </row>
    <row r="286" spans="1:45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8"/>
      <c r="S286" s="1"/>
      <c r="T286" s="1"/>
      <c r="U286" s="1"/>
      <c r="V286" s="1"/>
      <c r="W286" s="8"/>
      <c r="X286" s="1"/>
      <c r="Y286" s="1"/>
      <c r="Z286" s="8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8"/>
      <c r="AM286" s="1"/>
      <c r="AN286" s="1"/>
      <c r="AO286" s="1"/>
      <c r="AP286" s="1"/>
      <c r="AQ286" s="1"/>
      <c r="AR286" s="8"/>
      <c r="AS286" s="1"/>
    </row>
    <row r="287" spans="1:45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8"/>
      <c r="S287" s="1"/>
      <c r="T287" s="1"/>
      <c r="U287" s="1"/>
      <c r="V287" s="1"/>
      <c r="W287" s="8"/>
      <c r="X287" s="1"/>
      <c r="Y287" s="1"/>
      <c r="Z287" s="8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8"/>
      <c r="AM287" s="1"/>
      <c r="AN287" s="1"/>
      <c r="AO287" s="1"/>
      <c r="AP287" s="1"/>
      <c r="AQ287" s="1"/>
      <c r="AR287" s="8"/>
      <c r="AS287" s="1"/>
    </row>
    <row r="288" spans="1:45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4"/>
      <c r="S288" s="1"/>
      <c r="T288" s="1"/>
      <c r="U288" s="1"/>
      <c r="V288" s="1"/>
      <c r="W288" s="8"/>
      <c r="X288" s="15"/>
      <c r="Y288" s="15"/>
      <c r="Z288" s="14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8"/>
      <c r="AM288" s="15"/>
      <c r="AN288" s="15"/>
      <c r="AO288" s="15"/>
      <c r="AP288" s="15"/>
      <c r="AQ288" s="15"/>
      <c r="AR288" s="14"/>
      <c r="AS288" s="1"/>
    </row>
    <row r="289" spans="1:45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8"/>
      <c r="S297" s="36"/>
      <c r="T297" s="37"/>
      <c r="U297" s="37"/>
      <c r="V297" s="37"/>
      <c r="W297" s="37"/>
      <c r="X297" s="37"/>
      <c r="Y297" s="37"/>
      <c r="Z297" s="38"/>
      <c r="AA297" s="36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8"/>
      <c r="AS297" s="1"/>
    </row>
    <row r="298" spans="1:45" ht="15" thickBot="1" x14ac:dyDescent="0.35">
      <c r="A298" s="1"/>
      <c r="B298" s="3"/>
      <c r="C298" s="1"/>
      <c r="D298" s="1"/>
      <c r="E298" s="1"/>
      <c r="F298" s="1"/>
      <c r="G298" s="1"/>
      <c r="H298" s="1"/>
      <c r="I298" s="1"/>
      <c r="J298" s="30"/>
      <c r="K298" s="31"/>
      <c r="L298" s="30"/>
      <c r="M298" s="31"/>
      <c r="N298" s="30"/>
      <c r="O298" s="31"/>
      <c r="P298" s="1"/>
      <c r="Q298" s="9"/>
      <c r="R298" s="10"/>
      <c r="S298" s="1"/>
      <c r="T298" s="11"/>
      <c r="U298" s="23"/>
      <c r="V298" s="24"/>
      <c r="W298" s="26"/>
      <c r="X298" s="32"/>
      <c r="Y298" s="33"/>
      <c r="Z298" s="34"/>
      <c r="AA298" s="35"/>
      <c r="AB298" s="25"/>
      <c r="AC298" s="21"/>
      <c r="AD298" s="22"/>
      <c r="AE298" s="11"/>
      <c r="AF298" s="11"/>
      <c r="AG298" s="23"/>
      <c r="AH298" s="24"/>
      <c r="AI298" s="25"/>
      <c r="AJ298" s="23"/>
      <c r="AK298" s="24"/>
      <c r="AL298" s="26"/>
      <c r="AM298" s="27"/>
      <c r="AN298" s="28"/>
      <c r="AO298" s="28"/>
      <c r="AP298" s="28"/>
      <c r="AQ298" s="28"/>
      <c r="AR298" s="29"/>
      <c r="AS298" s="1"/>
    </row>
    <row r="299" spans="1:45" ht="15" thickBot="1" x14ac:dyDescent="0.3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3"/>
      <c r="S299" s="12"/>
      <c r="T299" s="12"/>
      <c r="U299" s="12"/>
      <c r="V299" s="12"/>
      <c r="W299" s="13"/>
      <c r="X299" s="12"/>
      <c r="Y299" s="12"/>
      <c r="Z299" s="13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3"/>
      <c r="AM299" s="12"/>
      <c r="AN299" s="12"/>
      <c r="AO299" s="12"/>
      <c r="AP299" s="12"/>
      <c r="AQ299" s="12"/>
      <c r="AR299" s="13"/>
      <c r="AS299" s="1"/>
    </row>
    <row r="300" spans="1:45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"/>
      <c r="S300" s="1"/>
      <c r="T300" s="1"/>
      <c r="U300" s="1"/>
      <c r="V300" s="1"/>
      <c r="W300" s="8"/>
      <c r="X300" s="1"/>
      <c r="Y300" s="1"/>
      <c r="Z300" s="8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8"/>
      <c r="AM300" s="1"/>
      <c r="AN300" s="1"/>
      <c r="AO300" s="1"/>
      <c r="AP300" s="1"/>
      <c r="AQ300" s="1"/>
      <c r="AR300" s="8"/>
      <c r="AS300" s="1"/>
    </row>
    <row r="301" spans="1:45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"/>
      <c r="S301" s="1"/>
      <c r="T301" s="1"/>
      <c r="U301" s="1"/>
      <c r="V301" s="1"/>
      <c r="W301" s="8"/>
      <c r="X301" s="1"/>
      <c r="Y301" s="1"/>
      <c r="Z301" s="8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8"/>
      <c r="AM301" s="1"/>
      <c r="AN301" s="1"/>
      <c r="AO301" s="1"/>
      <c r="AP301" s="1"/>
      <c r="AQ301" s="1"/>
      <c r="AR301" s="8"/>
      <c r="AS301" s="1"/>
    </row>
    <row r="302" spans="1:45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"/>
      <c r="S302" s="1"/>
      <c r="T302" s="1"/>
      <c r="U302" s="1"/>
      <c r="V302" s="1"/>
      <c r="W302" s="8"/>
      <c r="X302" s="1"/>
      <c r="Y302" s="1"/>
      <c r="Z302" s="8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8"/>
      <c r="AM302" s="1"/>
      <c r="AN302" s="1"/>
      <c r="AO302" s="1"/>
      <c r="AP302" s="1"/>
      <c r="AQ302" s="1"/>
      <c r="AR302" s="8"/>
      <c r="AS302" s="1"/>
    </row>
    <row r="303" spans="1:45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4"/>
      <c r="S303" s="1"/>
      <c r="T303" s="1"/>
      <c r="U303" s="1"/>
      <c r="V303" s="1"/>
      <c r="W303" s="8"/>
      <c r="X303" s="15"/>
      <c r="Y303" s="15"/>
      <c r="Z303" s="14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8"/>
      <c r="AM303" s="15"/>
      <c r="AN303" s="15"/>
      <c r="AO303" s="15"/>
      <c r="AP303" s="15"/>
      <c r="AQ303" s="15"/>
      <c r="AR303" s="14"/>
      <c r="AS303" s="1"/>
    </row>
    <row r="304" spans="1:45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"/>
      <c r="S312" s="36"/>
      <c r="T312" s="37"/>
      <c r="U312" s="37"/>
      <c r="V312" s="37"/>
      <c r="W312" s="37"/>
      <c r="X312" s="37"/>
      <c r="Y312" s="37"/>
      <c r="Z312" s="38"/>
      <c r="AA312" s="36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8"/>
      <c r="AS312" s="1"/>
    </row>
    <row r="313" spans="1:45" ht="15" thickBot="1" x14ac:dyDescent="0.35">
      <c r="A313" s="1"/>
      <c r="B313" s="3"/>
      <c r="C313" s="1"/>
      <c r="D313" s="1"/>
      <c r="E313" s="1"/>
      <c r="F313" s="1"/>
      <c r="G313" s="1"/>
      <c r="H313" s="1"/>
      <c r="I313" s="1"/>
      <c r="J313" s="30"/>
      <c r="K313" s="31"/>
      <c r="L313" s="30"/>
      <c r="M313" s="31"/>
      <c r="N313" s="30"/>
      <c r="O313" s="31"/>
      <c r="P313" s="1"/>
      <c r="Q313" s="9"/>
      <c r="R313" s="10"/>
      <c r="S313" s="1"/>
      <c r="T313" s="11"/>
      <c r="U313" s="23"/>
      <c r="V313" s="24"/>
      <c r="W313" s="26"/>
      <c r="X313" s="32"/>
      <c r="Y313" s="33"/>
      <c r="Z313" s="34"/>
      <c r="AA313" s="35"/>
      <c r="AB313" s="25"/>
      <c r="AC313" s="21"/>
      <c r="AD313" s="22"/>
      <c r="AE313" s="11"/>
      <c r="AF313" s="11"/>
      <c r="AG313" s="23"/>
      <c r="AH313" s="24"/>
      <c r="AI313" s="25"/>
      <c r="AJ313" s="23"/>
      <c r="AK313" s="24"/>
      <c r="AL313" s="26"/>
      <c r="AM313" s="27"/>
      <c r="AN313" s="28"/>
      <c r="AO313" s="28"/>
      <c r="AP313" s="28"/>
      <c r="AQ313" s="28"/>
      <c r="AR313" s="29"/>
      <c r="AS313" s="1"/>
    </row>
    <row r="314" spans="1:45" ht="15" thickBot="1" x14ac:dyDescent="0.3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3"/>
      <c r="S314" s="12"/>
      <c r="T314" s="12"/>
      <c r="U314" s="12"/>
      <c r="V314" s="12"/>
      <c r="W314" s="13"/>
      <c r="X314" s="12"/>
      <c r="Y314" s="12"/>
      <c r="Z314" s="13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3"/>
      <c r="AM314" s="12"/>
      <c r="AN314" s="12"/>
      <c r="AO314" s="12"/>
      <c r="AP314" s="12"/>
      <c r="AQ314" s="12"/>
      <c r="AR314" s="13"/>
      <c r="AS314" s="1"/>
    </row>
    <row r="315" spans="1:45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"/>
      <c r="S315" s="1"/>
      <c r="T315" s="1"/>
      <c r="U315" s="1"/>
      <c r="V315" s="1"/>
      <c r="W315" s="8"/>
      <c r="X315" s="1"/>
      <c r="Y315" s="1"/>
      <c r="Z315" s="8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8"/>
      <c r="AM315" s="1"/>
      <c r="AN315" s="1"/>
      <c r="AO315" s="1"/>
      <c r="AP315" s="1"/>
      <c r="AQ315" s="1"/>
      <c r="AR315" s="8"/>
      <c r="AS315" s="1"/>
    </row>
    <row r="316" spans="1:45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"/>
      <c r="S316" s="1"/>
      <c r="T316" s="1"/>
      <c r="U316" s="1"/>
      <c r="V316" s="1"/>
      <c r="W316" s="8"/>
      <c r="X316" s="1"/>
      <c r="Y316" s="1"/>
      <c r="Z316" s="8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8"/>
      <c r="AM316" s="1"/>
      <c r="AN316" s="1"/>
      <c r="AO316" s="1"/>
      <c r="AP316" s="1"/>
      <c r="AQ316" s="1"/>
      <c r="AR316" s="8"/>
      <c r="AS316" s="1"/>
    </row>
    <row r="317" spans="1:45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"/>
      <c r="S317" s="1"/>
      <c r="T317" s="1"/>
      <c r="U317" s="1"/>
      <c r="V317" s="1"/>
      <c r="W317" s="8"/>
      <c r="X317" s="1"/>
      <c r="Y317" s="1"/>
      <c r="Z317" s="8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8"/>
      <c r="AM317" s="1"/>
      <c r="AN317" s="1"/>
      <c r="AO317" s="1"/>
      <c r="AP317" s="1"/>
      <c r="AQ317" s="1"/>
      <c r="AR317" s="8"/>
      <c r="AS317" s="1"/>
    </row>
    <row r="318" spans="1:45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4"/>
      <c r="S318" s="1"/>
      <c r="T318" s="1"/>
      <c r="U318" s="1"/>
      <c r="V318" s="1"/>
      <c r="W318" s="8"/>
      <c r="X318" s="15"/>
      <c r="Y318" s="15"/>
      <c r="Z318" s="14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8"/>
      <c r="AM318" s="15"/>
      <c r="AN318" s="15"/>
      <c r="AO318" s="15"/>
      <c r="AP318" s="15"/>
      <c r="AQ318" s="15"/>
      <c r="AR318" s="14"/>
      <c r="AS318" s="1"/>
    </row>
    <row r="319" spans="1:45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</sheetData>
  <mergeCells count="387">
    <mergeCell ref="N252:O252"/>
    <mergeCell ref="U252:W252"/>
    <mergeCell ref="X252:Z252"/>
    <mergeCell ref="AA252:AB252"/>
    <mergeCell ref="AC252:AD252"/>
    <mergeCell ref="AG252:AI252"/>
    <mergeCell ref="AL252:AN252"/>
    <mergeCell ref="AO252:AT252"/>
    <mergeCell ref="N220:O220"/>
    <mergeCell ref="U220:W220"/>
    <mergeCell ref="X220:Z220"/>
    <mergeCell ref="AA220:AB220"/>
    <mergeCell ref="AC220:AD220"/>
    <mergeCell ref="AG220:AI220"/>
    <mergeCell ref="AL220:AN220"/>
    <mergeCell ref="AO220:AT220"/>
    <mergeCell ref="J228:K228"/>
    <mergeCell ref="L228:M228"/>
    <mergeCell ref="N228:O228"/>
    <mergeCell ref="U228:W228"/>
    <mergeCell ref="X228:Z228"/>
    <mergeCell ref="AA228:AB228"/>
    <mergeCell ref="AC228:AD228"/>
    <mergeCell ref="AG228:AI228"/>
    <mergeCell ref="AL228:AN228"/>
    <mergeCell ref="AO228:AT228"/>
    <mergeCell ref="L204:M204"/>
    <mergeCell ref="N204:O204"/>
    <mergeCell ref="U204:W204"/>
    <mergeCell ref="X204:Z204"/>
    <mergeCell ref="AA204:AB204"/>
    <mergeCell ref="AC204:AD204"/>
    <mergeCell ref="AG204:AI204"/>
    <mergeCell ref="AL204:AN204"/>
    <mergeCell ref="AO204:AT204"/>
    <mergeCell ref="J188:K188"/>
    <mergeCell ref="L188:M188"/>
    <mergeCell ref="N188:O188"/>
    <mergeCell ref="U188:W188"/>
    <mergeCell ref="X188:Z188"/>
    <mergeCell ref="AA188:AB188"/>
    <mergeCell ref="AC188:AD188"/>
    <mergeCell ref="AG188:AI188"/>
    <mergeCell ref="AL188:AN188"/>
    <mergeCell ref="A1:C1"/>
    <mergeCell ref="A2:C2"/>
    <mergeCell ref="A9:B9"/>
    <mergeCell ref="S11:Z11"/>
    <mergeCell ref="AA11:AR11"/>
    <mergeCell ref="J12:K12"/>
    <mergeCell ref="L12:M12"/>
    <mergeCell ref="N12:O12"/>
    <mergeCell ref="U12:W12"/>
    <mergeCell ref="X12:Z12"/>
    <mergeCell ref="AL36:AN36"/>
    <mergeCell ref="AO36:AT36"/>
    <mergeCell ref="J28:K28"/>
    <mergeCell ref="L28:M28"/>
    <mergeCell ref="N28:O28"/>
    <mergeCell ref="U28:W28"/>
    <mergeCell ref="X28:Z28"/>
    <mergeCell ref="AA28:AB28"/>
    <mergeCell ref="AA12:AB12"/>
    <mergeCell ref="AC12:AD12"/>
    <mergeCell ref="AG12:AI12"/>
    <mergeCell ref="AL12:AN12"/>
    <mergeCell ref="AO12:AT12"/>
    <mergeCell ref="AC20:AD20"/>
    <mergeCell ref="AG20:AI20"/>
    <mergeCell ref="AL20:AN20"/>
    <mergeCell ref="J43:K43"/>
    <mergeCell ref="L43:M43"/>
    <mergeCell ref="N43:O43"/>
    <mergeCell ref="U43:W43"/>
    <mergeCell ref="X43:Z43"/>
    <mergeCell ref="AA43:AB43"/>
    <mergeCell ref="AC28:AD28"/>
    <mergeCell ref="AG28:AI28"/>
    <mergeCell ref="AG36:AI36"/>
    <mergeCell ref="S147:Z147"/>
    <mergeCell ref="AA147:AR147"/>
    <mergeCell ref="AC140:AD140"/>
    <mergeCell ref="AG140:AI140"/>
    <mergeCell ref="AL140:AN140"/>
    <mergeCell ref="AO140:AT140"/>
    <mergeCell ref="B131:C131"/>
    <mergeCell ref="AG124:AI124"/>
    <mergeCell ref="AL124:AN124"/>
    <mergeCell ref="AO124:AT124"/>
    <mergeCell ref="AC148:AD148"/>
    <mergeCell ref="AG148:AI148"/>
    <mergeCell ref="AL148:AN148"/>
    <mergeCell ref="AO148:AT148"/>
    <mergeCell ref="J156:K156"/>
    <mergeCell ref="J148:K148"/>
    <mergeCell ref="L148:M148"/>
    <mergeCell ref="N148:O148"/>
    <mergeCell ref="U148:W148"/>
    <mergeCell ref="X148:Z148"/>
    <mergeCell ref="AA148:AB148"/>
    <mergeCell ref="AC180:AD180"/>
    <mergeCell ref="AG180:AI180"/>
    <mergeCell ref="AL180:AN180"/>
    <mergeCell ref="AO180:AT180"/>
    <mergeCell ref="AC163:AD163"/>
    <mergeCell ref="AG163:AI163"/>
    <mergeCell ref="AJ163:AL163"/>
    <mergeCell ref="AM163:AR163"/>
    <mergeCell ref="AG164:AI164"/>
    <mergeCell ref="AL164:AN164"/>
    <mergeCell ref="AO164:AT164"/>
    <mergeCell ref="U163:W163"/>
    <mergeCell ref="X163:Z163"/>
    <mergeCell ref="AA163:AB163"/>
    <mergeCell ref="AO188:AT188"/>
    <mergeCell ref="B203:C203"/>
    <mergeCell ref="J196:K196"/>
    <mergeCell ref="L196:M196"/>
    <mergeCell ref="N196:O196"/>
    <mergeCell ref="U196:W196"/>
    <mergeCell ref="X196:Z196"/>
    <mergeCell ref="AA196:AB196"/>
    <mergeCell ref="AC196:AD196"/>
    <mergeCell ref="AG196:AI196"/>
    <mergeCell ref="AL196:AN196"/>
    <mergeCell ref="AO196:AT196"/>
    <mergeCell ref="J204:K204"/>
    <mergeCell ref="J212:K212"/>
    <mergeCell ref="L212:M212"/>
    <mergeCell ref="N212:O212"/>
    <mergeCell ref="U212:W212"/>
    <mergeCell ref="X212:Z212"/>
    <mergeCell ref="AA212:AB212"/>
    <mergeCell ref="AC212:AD212"/>
    <mergeCell ref="AG212:AI212"/>
    <mergeCell ref="AL212:AN212"/>
    <mergeCell ref="AO212:AT212"/>
    <mergeCell ref="J220:K220"/>
    <mergeCell ref="L220:M220"/>
    <mergeCell ref="J236:K236"/>
    <mergeCell ref="L236:M236"/>
    <mergeCell ref="N236:O236"/>
    <mergeCell ref="U236:W236"/>
    <mergeCell ref="X236:Z236"/>
    <mergeCell ref="AA236:AB236"/>
    <mergeCell ref="AC236:AD236"/>
    <mergeCell ref="AG236:AI236"/>
    <mergeCell ref="AL236:AN236"/>
    <mergeCell ref="AO236:AT236"/>
    <mergeCell ref="J244:K244"/>
    <mergeCell ref="L244:M244"/>
    <mergeCell ref="N244:O244"/>
    <mergeCell ref="U244:W244"/>
    <mergeCell ref="X244:Z244"/>
    <mergeCell ref="AA244:AB244"/>
    <mergeCell ref="AC244:AD244"/>
    <mergeCell ref="AG244:AI244"/>
    <mergeCell ref="AL244:AN244"/>
    <mergeCell ref="AO244:AT244"/>
    <mergeCell ref="J252:K252"/>
    <mergeCell ref="L252:M252"/>
    <mergeCell ref="S267:Z267"/>
    <mergeCell ref="AA267:AR267"/>
    <mergeCell ref="AM268:AR268"/>
    <mergeCell ref="S282:Z282"/>
    <mergeCell ref="AA282:AR282"/>
    <mergeCell ref="J268:K268"/>
    <mergeCell ref="L268:M268"/>
    <mergeCell ref="N268:O268"/>
    <mergeCell ref="U268:W268"/>
    <mergeCell ref="X268:Z268"/>
    <mergeCell ref="AA268:AB268"/>
    <mergeCell ref="J283:K283"/>
    <mergeCell ref="L283:M283"/>
    <mergeCell ref="N283:O283"/>
    <mergeCell ref="U283:W283"/>
    <mergeCell ref="X283:Z283"/>
    <mergeCell ref="AA283:AB283"/>
    <mergeCell ref="AC268:AD268"/>
    <mergeCell ref="AG268:AI268"/>
    <mergeCell ref="AJ268:AL268"/>
    <mergeCell ref="N298:O298"/>
    <mergeCell ref="U298:W298"/>
    <mergeCell ref="X298:Z298"/>
    <mergeCell ref="AA298:AB298"/>
    <mergeCell ref="AC283:AD283"/>
    <mergeCell ref="AG283:AI283"/>
    <mergeCell ref="AJ283:AL283"/>
    <mergeCell ref="AM283:AR283"/>
    <mergeCell ref="S297:Z297"/>
    <mergeCell ref="AA297:AR297"/>
    <mergeCell ref="AC313:AD313"/>
    <mergeCell ref="AG313:AI313"/>
    <mergeCell ref="AJ313:AL313"/>
    <mergeCell ref="AM313:AR313"/>
    <mergeCell ref="J20:K20"/>
    <mergeCell ref="L20:M20"/>
    <mergeCell ref="N20:O20"/>
    <mergeCell ref="U20:W20"/>
    <mergeCell ref="X20:Z20"/>
    <mergeCell ref="AA20:AB20"/>
    <mergeCell ref="J313:K313"/>
    <mergeCell ref="L313:M313"/>
    <mergeCell ref="N313:O313"/>
    <mergeCell ref="U313:W313"/>
    <mergeCell ref="X313:Z313"/>
    <mergeCell ref="AA313:AB313"/>
    <mergeCell ref="AC298:AD298"/>
    <mergeCell ref="AG298:AI298"/>
    <mergeCell ref="AJ298:AL298"/>
    <mergeCell ref="AM298:AR298"/>
    <mergeCell ref="S312:Z312"/>
    <mergeCell ref="AA312:AR312"/>
    <mergeCell ref="J298:K298"/>
    <mergeCell ref="L298:M298"/>
    <mergeCell ref="J44:K44"/>
    <mergeCell ref="L44:M44"/>
    <mergeCell ref="N44:O44"/>
    <mergeCell ref="U44:W44"/>
    <mergeCell ref="X44:Z44"/>
    <mergeCell ref="AA44:AB44"/>
    <mergeCell ref="AO20:AT20"/>
    <mergeCell ref="AL28:AN28"/>
    <mergeCell ref="AO28:AT28"/>
    <mergeCell ref="J36:K36"/>
    <mergeCell ref="L36:M36"/>
    <mergeCell ref="N36:O36"/>
    <mergeCell ref="U36:W36"/>
    <mergeCell ref="X36:Z36"/>
    <mergeCell ref="AA36:AB36"/>
    <mergeCell ref="AC36:AD36"/>
    <mergeCell ref="AC43:AD43"/>
    <mergeCell ref="AG43:AI43"/>
    <mergeCell ref="AJ43:AL43"/>
    <mergeCell ref="AM43:AR43"/>
    <mergeCell ref="AC44:AD44"/>
    <mergeCell ref="AG44:AI44"/>
    <mergeCell ref="AL44:AN44"/>
    <mergeCell ref="AO44:AT44"/>
    <mergeCell ref="AC52:AD52"/>
    <mergeCell ref="AG52:AI52"/>
    <mergeCell ref="AL52:AN52"/>
    <mergeCell ref="AO52:AT52"/>
    <mergeCell ref="J60:K60"/>
    <mergeCell ref="L60:M60"/>
    <mergeCell ref="N60:O60"/>
    <mergeCell ref="U60:W60"/>
    <mergeCell ref="X60:Z60"/>
    <mergeCell ref="AA60:AB60"/>
    <mergeCell ref="J52:K52"/>
    <mergeCell ref="L52:M52"/>
    <mergeCell ref="N52:O52"/>
    <mergeCell ref="U52:W52"/>
    <mergeCell ref="X52:Z52"/>
    <mergeCell ref="AA52:AB52"/>
    <mergeCell ref="AC60:AD60"/>
    <mergeCell ref="AG60:AI60"/>
    <mergeCell ref="AL60:AN60"/>
    <mergeCell ref="AO60:AT60"/>
    <mergeCell ref="J68:K68"/>
    <mergeCell ref="L68:M68"/>
    <mergeCell ref="N68:O68"/>
    <mergeCell ref="U68:W68"/>
    <mergeCell ref="X68:Z68"/>
    <mergeCell ref="AA68:AB68"/>
    <mergeCell ref="AC68:AD68"/>
    <mergeCell ref="AG68:AI68"/>
    <mergeCell ref="AL68:AN68"/>
    <mergeCell ref="AO68:AT68"/>
    <mergeCell ref="J76:K76"/>
    <mergeCell ref="L76:M76"/>
    <mergeCell ref="N76:O76"/>
    <mergeCell ref="U76:W76"/>
    <mergeCell ref="X76:Z76"/>
    <mergeCell ref="AA76:AB76"/>
    <mergeCell ref="AC76:AD76"/>
    <mergeCell ref="AG76:AI76"/>
    <mergeCell ref="AL76:AN76"/>
    <mergeCell ref="AO76:AT76"/>
    <mergeCell ref="AL84:AN84"/>
    <mergeCell ref="AO84:AT84"/>
    <mergeCell ref="J92:K92"/>
    <mergeCell ref="L92:M92"/>
    <mergeCell ref="N92:O92"/>
    <mergeCell ref="U92:W92"/>
    <mergeCell ref="X92:Z92"/>
    <mergeCell ref="AA92:AB92"/>
    <mergeCell ref="AC92:AD92"/>
    <mergeCell ref="AG92:AI92"/>
    <mergeCell ref="N84:O84"/>
    <mergeCell ref="U84:W84"/>
    <mergeCell ref="X84:Z84"/>
    <mergeCell ref="AA84:AB84"/>
    <mergeCell ref="AC84:AD84"/>
    <mergeCell ref="AG84:AI84"/>
    <mergeCell ref="AL92:AN92"/>
    <mergeCell ref="AO92:AT92"/>
    <mergeCell ref="J84:K84"/>
    <mergeCell ref="L84:M84"/>
    <mergeCell ref="AL100:AN100"/>
    <mergeCell ref="AO100:AT100"/>
    <mergeCell ref="J108:K108"/>
    <mergeCell ref="L108:M108"/>
    <mergeCell ref="N108:O108"/>
    <mergeCell ref="U108:W108"/>
    <mergeCell ref="X108:Z108"/>
    <mergeCell ref="AA108:AB108"/>
    <mergeCell ref="AC108:AD108"/>
    <mergeCell ref="AG108:AI108"/>
    <mergeCell ref="J100:K100"/>
    <mergeCell ref="L100:M100"/>
    <mergeCell ref="N100:O100"/>
    <mergeCell ref="U100:W100"/>
    <mergeCell ref="X100:Z100"/>
    <mergeCell ref="AA100:AB100"/>
    <mergeCell ref="AL108:AN108"/>
    <mergeCell ref="AO108:AT108"/>
    <mergeCell ref="AC100:AD100"/>
    <mergeCell ref="AG100:AI100"/>
    <mergeCell ref="AG116:AI116"/>
    <mergeCell ref="AL116:AN116"/>
    <mergeCell ref="AO116:AT116"/>
    <mergeCell ref="J124:K124"/>
    <mergeCell ref="L124:M124"/>
    <mergeCell ref="N124:O124"/>
    <mergeCell ref="U124:W124"/>
    <mergeCell ref="X124:Z124"/>
    <mergeCell ref="AA124:AB124"/>
    <mergeCell ref="AC124:AD124"/>
    <mergeCell ref="L116:M116"/>
    <mergeCell ref="N116:O116"/>
    <mergeCell ref="U116:W116"/>
    <mergeCell ref="X116:Z116"/>
    <mergeCell ref="AA116:AB116"/>
    <mergeCell ref="AC116:AD116"/>
    <mergeCell ref="J116:K116"/>
    <mergeCell ref="AC132:AD132"/>
    <mergeCell ref="AG132:AI132"/>
    <mergeCell ref="AL132:AN132"/>
    <mergeCell ref="AO132:AT132"/>
    <mergeCell ref="J140:K140"/>
    <mergeCell ref="L140:M140"/>
    <mergeCell ref="N140:O140"/>
    <mergeCell ref="U140:W140"/>
    <mergeCell ref="X140:Z140"/>
    <mergeCell ref="AA140:AB140"/>
    <mergeCell ref="J132:K132"/>
    <mergeCell ref="L132:M132"/>
    <mergeCell ref="N132:O132"/>
    <mergeCell ref="U132:W132"/>
    <mergeCell ref="X132:Z132"/>
    <mergeCell ref="AA132:AB132"/>
    <mergeCell ref="AG156:AI156"/>
    <mergeCell ref="AL156:AN156"/>
    <mergeCell ref="AO156:AT156"/>
    <mergeCell ref="J164:K164"/>
    <mergeCell ref="L164:M164"/>
    <mergeCell ref="N164:O164"/>
    <mergeCell ref="U164:W164"/>
    <mergeCell ref="X164:Z164"/>
    <mergeCell ref="AA164:AB164"/>
    <mergeCell ref="AC164:AD164"/>
    <mergeCell ref="L156:M156"/>
    <mergeCell ref="N156:O156"/>
    <mergeCell ref="U156:W156"/>
    <mergeCell ref="X156:Z156"/>
    <mergeCell ref="AA156:AB156"/>
    <mergeCell ref="AC156:AD156"/>
    <mergeCell ref="J163:K163"/>
    <mergeCell ref="L163:M163"/>
    <mergeCell ref="N163:O163"/>
    <mergeCell ref="AC172:AD172"/>
    <mergeCell ref="AG172:AI172"/>
    <mergeCell ref="AL172:AN172"/>
    <mergeCell ref="AO172:AT172"/>
    <mergeCell ref="J180:K180"/>
    <mergeCell ref="L180:M180"/>
    <mergeCell ref="N180:O180"/>
    <mergeCell ref="U180:W180"/>
    <mergeCell ref="X180:Z180"/>
    <mergeCell ref="AA180:AB180"/>
    <mergeCell ref="J172:K172"/>
    <mergeCell ref="L172:M172"/>
    <mergeCell ref="N172:O172"/>
    <mergeCell ref="U172:W172"/>
    <mergeCell ref="X172:Z172"/>
    <mergeCell ref="AA172:AB1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rajushrinivass76@outlook.com</dc:creator>
  <cp:lastModifiedBy>rajushrinivass76@outlook.com</cp:lastModifiedBy>
  <dcterms:created xsi:type="dcterms:W3CDTF">2026-01-13T06:05:28Z</dcterms:created>
  <dcterms:modified xsi:type="dcterms:W3CDTF">2026-01-13T16:37:58Z</dcterms:modified>
</cp:coreProperties>
</file>