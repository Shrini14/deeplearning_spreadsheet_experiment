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ff0c0839659a90/Documents/"/>
    </mc:Choice>
  </mc:AlternateContent>
  <xr:revisionPtr revIDLastSave="265" documentId="8_{DD8D545F-5B58-41EC-A075-88D260275F72}" xr6:coauthVersionLast="47" xr6:coauthVersionMax="47" xr10:uidLastSave="{04C1E58D-BFB7-4147-AF94-B7C1575B3E1E}"/>
  <bookViews>
    <workbookView xWindow="-108" yWindow="-108" windowWidth="23256" windowHeight="12456" xr2:uid="{63D1E064-D769-4BD1-865F-E6D19F0D6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6" i="1" l="1"/>
  <c r="M466" i="1"/>
  <c r="N465" i="1"/>
  <c r="M465" i="1"/>
  <c r="N464" i="1"/>
  <c r="M464" i="1"/>
  <c r="N463" i="1"/>
  <c r="M463" i="1"/>
  <c r="C463" i="1"/>
  <c r="B463" i="1"/>
  <c r="A463" i="1"/>
  <c r="G465" i="1" s="1"/>
  <c r="N457" i="1"/>
  <c r="M457" i="1"/>
  <c r="N456" i="1"/>
  <c r="M456" i="1"/>
  <c r="N455" i="1"/>
  <c r="M455" i="1"/>
  <c r="N454" i="1"/>
  <c r="M454" i="1"/>
  <c r="C454" i="1"/>
  <c r="B454" i="1"/>
  <c r="A454" i="1"/>
  <c r="G455" i="1" s="1"/>
  <c r="N448" i="1"/>
  <c r="M448" i="1"/>
  <c r="N447" i="1"/>
  <c r="M447" i="1"/>
  <c r="N446" i="1"/>
  <c r="M446" i="1"/>
  <c r="N445" i="1"/>
  <c r="M445" i="1"/>
  <c r="C445" i="1"/>
  <c r="B445" i="1"/>
  <c r="A445" i="1"/>
  <c r="G446" i="1" s="1"/>
  <c r="N439" i="1"/>
  <c r="M439" i="1"/>
  <c r="N438" i="1"/>
  <c r="M438" i="1"/>
  <c r="N437" i="1"/>
  <c r="M437" i="1"/>
  <c r="N436" i="1"/>
  <c r="M436" i="1"/>
  <c r="C436" i="1"/>
  <c r="B436" i="1"/>
  <c r="A436" i="1"/>
  <c r="G437" i="1" s="1"/>
  <c r="N430" i="1"/>
  <c r="M430" i="1"/>
  <c r="N429" i="1"/>
  <c r="M429" i="1"/>
  <c r="N428" i="1"/>
  <c r="M428" i="1"/>
  <c r="N427" i="1"/>
  <c r="M427" i="1"/>
  <c r="C427" i="1"/>
  <c r="B427" i="1"/>
  <c r="A427" i="1"/>
  <c r="G428" i="1" s="1"/>
  <c r="N421" i="1"/>
  <c r="M421" i="1"/>
  <c r="N420" i="1"/>
  <c r="M420" i="1"/>
  <c r="N419" i="1"/>
  <c r="M419" i="1"/>
  <c r="N418" i="1"/>
  <c r="M418" i="1"/>
  <c r="C418" i="1"/>
  <c r="B418" i="1"/>
  <c r="A418" i="1"/>
  <c r="G419" i="1" s="1"/>
  <c r="N412" i="1"/>
  <c r="M412" i="1"/>
  <c r="N411" i="1"/>
  <c r="M411" i="1"/>
  <c r="N410" i="1"/>
  <c r="M410" i="1"/>
  <c r="N409" i="1"/>
  <c r="M409" i="1"/>
  <c r="C409" i="1"/>
  <c r="B409" i="1"/>
  <c r="A409" i="1"/>
  <c r="G410" i="1" s="1"/>
  <c r="N403" i="1"/>
  <c r="M403" i="1"/>
  <c r="N402" i="1"/>
  <c r="M402" i="1"/>
  <c r="N401" i="1"/>
  <c r="M401" i="1"/>
  <c r="N400" i="1"/>
  <c r="M400" i="1"/>
  <c r="C400" i="1"/>
  <c r="B400" i="1"/>
  <c r="A400" i="1"/>
  <c r="G401" i="1" s="1"/>
  <c r="N394" i="1"/>
  <c r="M394" i="1"/>
  <c r="G394" i="1"/>
  <c r="K394" i="1" s="1"/>
  <c r="N393" i="1"/>
  <c r="M393" i="1"/>
  <c r="N392" i="1"/>
  <c r="M392" i="1"/>
  <c r="N391" i="1"/>
  <c r="M391" i="1"/>
  <c r="C391" i="1"/>
  <c r="B391" i="1"/>
  <c r="A391" i="1"/>
  <c r="G392" i="1" s="1"/>
  <c r="N385" i="1"/>
  <c r="M385" i="1"/>
  <c r="N384" i="1"/>
  <c r="M384" i="1"/>
  <c r="N383" i="1"/>
  <c r="M383" i="1"/>
  <c r="N382" i="1"/>
  <c r="M382" i="1"/>
  <c r="C382" i="1"/>
  <c r="B382" i="1"/>
  <c r="A382" i="1"/>
  <c r="G383" i="1" s="1"/>
  <c r="N376" i="1"/>
  <c r="M376" i="1"/>
  <c r="N375" i="1"/>
  <c r="M375" i="1"/>
  <c r="N374" i="1"/>
  <c r="M374" i="1"/>
  <c r="N373" i="1"/>
  <c r="M373" i="1"/>
  <c r="C373" i="1"/>
  <c r="B373" i="1"/>
  <c r="A373" i="1"/>
  <c r="G374" i="1" s="1"/>
  <c r="N367" i="1"/>
  <c r="M367" i="1"/>
  <c r="N366" i="1"/>
  <c r="M366" i="1"/>
  <c r="N365" i="1"/>
  <c r="M365" i="1"/>
  <c r="G365" i="1"/>
  <c r="K365" i="1" s="1"/>
  <c r="N364" i="1"/>
  <c r="M364" i="1"/>
  <c r="C364" i="1"/>
  <c r="B364" i="1"/>
  <c r="A364" i="1"/>
  <c r="G366" i="1" s="1"/>
  <c r="N358" i="1"/>
  <c r="M358" i="1"/>
  <c r="N357" i="1"/>
  <c r="M357" i="1"/>
  <c r="N356" i="1"/>
  <c r="M356" i="1"/>
  <c r="N355" i="1"/>
  <c r="M355" i="1"/>
  <c r="C355" i="1"/>
  <c r="B355" i="1"/>
  <c r="A355" i="1"/>
  <c r="G356" i="1" s="1"/>
  <c r="N349" i="1"/>
  <c r="M349" i="1"/>
  <c r="N348" i="1"/>
  <c r="M348" i="1"/>
  <c r="N347" i="1"/>
  <c r="M347" i="1"/>
  <c r="N346" i="1"/>
  <c r="M346" i="1"/>
  <c r="C346" i="1"/>
  <c r="B346" i="1"/>
  <c r="A346" i="1"/>
  <c r="G347" i="1" s="1"/>
  <c r="N340" i="1"/>
  <c r="M340" i="1"/>
  <c r="N339" i="1"/>
  <c r="M339" i="1"/>
  <c r="N338" i="1"/>
  <c r="M338" i="1"/>
  <c r="G338" i="1"/>
  <c r="K338" i="1" s="1"/>
  <c r="N337" i="1"/>
  <c r="M337" i="1"/>
  <c r="C337" i="1"/>
  <c r="B337" i="1"/>
  <c r="A337" i="1"/>
  <c r="G339" i="1" s="1"/>
  <c r="N331" i="1"/>
  <c r="M331" i="1"/>
  <c r="N330" i="1"/>
  <c r="M330" i="1"/>
  <c r="N329" i="1"/>
  <c r="M329" i="1"/>
  <c r="N328" i="1"/>
  <c r="M328" i="1"/>
  <c r="C328" i="1"/>
  <c r="B328" i="1"/>
  <c r="A328" i="1"/>
  <c r="G329" i="1" s="1"/>
  <c r="N322" i="1"/>
  <c r="M322" i="1"/>
  <c r="N321" i="1"/>
  <c r="M321" i="1"/>
  <c r="N320" i="1"/>
  <c r="M320" i="1"/>
  <c r="G320" i="1"/>
  <c r="K320" i="1" s="1"/>
  <c r="N319" i="1"/>
  <c r="M319" i="1"/>
  <c r="C319" i="1"/>
  <c r="B319" i="1"/>
  <c r="A319" i="1"/>
  <c r="G319" i="1" s="1"/>
  <c r="N313" i="1"/>
  <c r="M313" i="1"/>
  <c r="N312" i="1"/>
  <c r="M312" i="1"/>
  <c r="N311" i="1"/>
  <c r="M311" i="1"/>
  <c r="N310" i="1"/>
  <c r="M310" i="1"/>
  <c r="C310" i="1"/>
  <c r="B310" i="1"/>
  <c r="A310" i="1"/>
  <c r="G310" i="1" s="1"/>
  <c r="N304" i="1"/>
  <c r="M304" i="1"/>
  <c r="N303" i="1"/>
  <c r="M303" i="1"/>
  <c r="N302" i="1"/>
  <c r="M302" i="1"/>
  <c r="N301" i="1"/>
  <c r="M301" i="1"/>
  <c r="C301" i="1"/>
  <c r="B301" i="1"/>
  <c r="A301" i="1"/>
  <c r="G302" i="1" s="1"/>
  <c r="N295" i="1"/>
  <c r="M295" i="1"/>
  <c r="N294" i="1"/>
  <c r="M294" i="1"/>
  <c r="N293" i="1"/>
  <c r="M293" i="1"/>
  <c r="N292" i="1"/>
  <c r="M292" i="1"/>
  <c r="C292" i="1"/>
  <c r="B292" i="1"/>
  <c r="A292" i="1"/>
  <c r="G293" i="1" s="1"/>
  <c r="N286" i="1"/>
  <c r="M286" i="1"/>
  <c r="N285" i="1"/>
  <c r="M285" i="1"/>
  <c r="N284" i="1"/>
  <c r="M284" i="1"/>
  <c r="N283" i="1"/>
  <c r="M283" i="1"/>
  <c r="N277" i="1"/>
  <c r="M277" i="1"/>
  <c r="N276" i="1"/>
  <c r="M276" i="1"/>
  <c r="N275" i="1"/>
  <c r="M275" i="1"/>
  <c r="N274" i="1"/>
  <c r="M274" i="1"/>
  <c r="N268" i="1"/>
  <c r="M268" i="1"/>
  <c r="N267" i="1"/>
  <c r="M267" i="1"/>
  <c r="N266" i="1"/>
  <c r="M266" i="1"/>
  <c r="N265" i="1"/>
  <c r="M265" i="1"/>
  <c r="N259" i="1"/>
  <c r="M259" i="1"/>
  <c r="N258" i="1"/>
  <c r="M258" i="1"/>
  <c r="N257" i="1"/>
  <c r="M257" i="1"/>
  <c r="N256" i="1"/>
  <c r="M256" i="1"/>
  <c r="N250" i="1"/>
  <c r="M250" i="1"/>
  <c r="N249" i="1"/>
  <c r="M249" i="1"/>
  <c r="N248" i="1"/>
  <c r="M248" i="1"/>
  <c r="N247" i="1"/>
  <c r="M247" i="1"/>
  <c r="N241" i="1"/>
  <c r="M241" i="1"/>
  <c r="N240" i="1"/>
  <c r="M240" i="1"/>
  <c r="N239" i="1"/>
  <c r="M239" i="1"/>
  <c r="N238" i="1"/>
  <c r="M238" i="1"/>
  <c r="N232" i="1"/>
  <c r="M232" i="1"/>
  <c r="N231" i="1"/>
  <c r="M231" i="1"/>
  <c r="N230" i="1"/>
  <c r="M230" i="1"/>
  <c r="N229" i="1"/>
  <c r="M229" i="1"/>
  <c r="N223" i="1"/>
  <c r="M223" i="1"/>
  <c r="N222" i="1"/>
  <c r="M222" i="1"/>
  <c r="N221" i="1"/>
  <c r="M221" i="1"/>
  <c r="N220" i="1"/>
  <c r="M220" i="1"/>
  <c r="N214" i="1"/>
  <c r="M214" i="1"/>
  <c r="N213" i="1"/>
  <c r="M213" i="1"/>
  <c r="N212" i="1"/>
  <c r="M212" i="1"/>
  <c r="N211" i="1"/>
  <c r="M211" i="1"/>
  <c r="N205" i="1"/>
  <c r="M205" i="1"/>
  <c r="N204" i="1"/>
  <c r="M204" i="1"/>
  <c r="N203" i="1"/>
  <c r="M203" i="1"/>
  <c r="N202" i="1"/>
  <c r="M202" i="1"/>
  <c r="N196" i="1"/>
  <c r="M196" i="1"/>
  <c r="N195" i="1"/>
  <c r="M195" i="1"/>
  <c r="N194" i="1"/>
  <c r="M194" i="1"/>
  <c r="N193" i="1"/>
  <c r="M193" i="1"/>
  <c r="N187" i="1"/>
  <c r="M187" i="1"/>
  <c r="N186" i="1"/>
  <c r="M186" i="1"/>
  <c r="N185" i="1"/>
  <c r="M185" i="1"/>
  <c r="N184" i="1"/>
  <c r="M184" i="1"/>
  <c r="N178" i="1"/>
  <c r="M178" i="1"/>
  <c r="N177" i="1"/>
  <c r="M177" i="1"/>
  <c r="N176" i="1"/>
  <c r="M176" i="1"/>
  <c r="N175" i="1"/>
  <c r="M175" i="1"/>
  <c r="N169" i="1"/>
  <c r="M169" i="1"/>
  <c r="N168" i="1"/>
  <c r="M168" i="1"/>
  <c r="N167" i="1"/>
  <c r="M167" i="1"/>
  <c r="N166" i="1"/>
  <c r="M166" i="1"/>
  <c r="N160" i="1"/>
  <c r="M160" i="1"/>
  <c r="N159" i="1"/>
  <c r="M159" i="1"/>
  <c r="N158" i="1"/>
  <c r="M158" i="1"/>
  <c r="N157" i="1"/>
  <c r="M157" i="1"/>
  <c r="N151" i="1"/>
  <c r="M151" i="1"/>
  <c r="N150" i="1"/>
  <c r="M150" i="1"/>
  <c r="N149" i="1"/>
  <c r="M149" i="1"/>
  <c r="N148" i="1"/>
  <c r="M148" i="1"/>
  <c r="N142" i="1"/>
  <c r="M142" i="1"/>
  <c r="N141" i="1"/>
  <c r="M141" i="1"/>
  <c r="N140" i="1"/>
  <c r="M140" i="1"/>
  <c r="N139" i="1"/>
  <c r="M139" i="1"/>
  <c r="N133" i="1"/>
  <c r="M133" i="1"/>
  <c r="N132" i="1"/>
  <c r="M132" i="1"/>
  <c r="N131" i="1"/>
  <c r="M131" i="1"/>
  <c r="N130" i="1"/>
  <c r="M130" i="1"/>
  <c r="N124" i="1"/>
  <c r="M124" i="1"/>
  <c r="N123" i="1"/>
  <c r="M123" i="1"/>
  <c r="N122" i="1"/>
  <c r="M122" i="1"/>
  <c r="N121" i="1"/>
  <c r="M121" i="1"/>
  <c r="N115" i="1"/>
  <c r="M115" i="1"/>
  <c r="N114" i="1"/>
  <c r="M114" i="1"/>
  <c r="N113" i="1"/>
  <c r="M113" i="1"/>
  <c r="N112" i="1"/>
  <c r="M112" i="1"/>
  <c r="N106" i="1"/>
  <c r="M106" i="1"/>
  <c r="N105" i="1"/>
  <c r="M105" i="1"/>
  <c r="N104" i="1"/>
  <c r="M104" i="1"/>
  <c r="N103" i="1"/>
  <c r="M103" i="1"/>
  <c r="N97" i="1"/>
  <c r="M97" i="1"/>
  <c r="N96" i="1"/>
  <c r="M96" i="1"/>
  <c r="N95" i="1"/>
  <c r="M95" i="1"/>
  <c r="N94" i="1"/>
  <c r="M94" i="1"/>
  <c r="N88" i="1"/>
  <c r="M88" i="1"/>
  <c r="N87" i="1"/>
  <c r="M87" i="1"/>
  <c r="N86" i="1"/>
  <c r="M86" i="1"/>
  <c r="N85" i="1"/>
  <c r="M85" i="1"/>
  <c r="N79" i="1"/>
  <c r="M79" i="1"/>
  <c r="N78" i="1"/>
  <c r="M78" i="1"/>
  <c r="N77" i="1"/>
  <c r="M77" i="1"/>
  <c r="N76" i="1"/>
  <c r="M76" i="1"/>
  <c r="N70" i="1"/>
  <c r="M70" i="1"/>
  <c r="N69" i="1"/>
  <c r="M69" i="1"/>
  <c r="N68" i="1"/>
  <c r="M68" i="1"/>
  <c r="N67" i="1"/>
  <c r="M67" i="1"/>
  <c r="N61" i="1"/>
  <c r="M61" i="1"/>
  <c r="N60" i="1"/>
  <c r="M60" i="1"/>
  <c r="N59" i="1"/>
  <c r="M59" i="1"/>
  <c r="N58" i="1"/>
  <c r="M58" i="1"/>
  <c r="N52" i="1"/>
  <c r="M52" i="1"/>
  <c r="N51" i="1"/>
  <c r="M51" i="1"/>
  <c r="N50" i="1"/>
  <c r="M50" i="1"/>
  <c r="N49" i="1"/>
  <c r="M49" i="1"/>
  <c r="N43" i="1"/>
  <c r="M43" i="1"/>
  <c r="N42" i="1"/>
  <c r="M42" i="1"/>
  <c r="N41" i="1"/>
  <c r="M41" i="1"/>
  <c r="N40" i="1"/>
  <c r="M40" i="1"/>
  <c r="N34" i="1"/>
  <c r="M34" i="1"/>
  <c r="N33" i="1"/>
  <c r="M33" i="1"/>
  <c r="N32" i="1"/>
  <c r="M32" i="1"/>
  <c r="N31" i="1"/>
  <c r="M31" i="1"/>
  <c r="N25" i="1"/>
  <c r="M25" i="1"/>
  <c r="N24" i="1"/>
  <c r="M24" i="1"/>
  <c r="N23" i="1"/>
  <c r="M23" i="1"/>
  <c r="N22" i="1"/>
  <c r="M22" i="1"/>
  <c r="G13" i="1"/>
  <c r="H13" i="1" s="1"/>
  <c r="J13" i="1" s="1"/>
  <c r="M13" i="1"/>
  <c r="N13" i="1"/>
  <c r="N14" i="1"/>
  <c r="N15" i="1"/>
  <c r="N16" i="1"/>
  <c r="M14" i="1"/>
  <c r="M15" i="1"/>
  <c r="M16" i="1"/>
  <c r="G16" i="1"/>
  <c r="H16" i="1" s="1"/>
  <c r="J16" i="1" s="1"/>
  <c r="G15" i="1"/>
  <c r="H15" i="1" s="1"/>
  <c r="J15" i="1" s="1"/>
  <c r="G14" i="1"/>
  <c r="H14" i="1" s="1"/>
  <c r="J14" i="1" s="1"/>
  <c r="K465" i="1" l="1"/>
  <c r="H465" i="1"/>
  <c r="G463" i="1"/>
  <c r="G464" i="1"/>
  <c r="G466" i="1"/>
  <c r="H455" i="1"/>
  <c r="K455" i="1"/>
  <c r="G457" i="1"/>
  <c r="G454" i="1"/>
  <c r="G456" i="1"/>
  <c r="H446" i="1"/>
  <c r="K446" i="1"/>
  <c r="G445" i="1"/>
  <c r="G448" i="1"/>
  <c r="G447" i="1"/>
  <c r="H437" i="1"/>
  <c r="K437" i="1"/>
  <c r="G439" i="1"/>
  <c r="G436" i="1"/>
  <c r="G438" i="1"/>
  <c r="H428" i="1"/>
  <c r="K428" i="1"/>
  <c r="G429" i="1"/>
  <c r="G430" i="1"/>
  <c r="G427" i="1"/>
  <c r="H419" i="1"/>
  <c r="K419" i="1"/>
  <c r="G418" i="1"/>
  <c r="G420" i="1"/>
  <c r="G421" i="1"/>
  <c r="K410" i="1"/>
  <c r="H410" i="1"/>
  <c r="G412" i="1"/>
  <c r="G409" i="1"/>
  <c r="G411" i="1"/>
  <c r="K401" i="1"/>
  <c r="H401" i="1"/>
  <c r="G403" i="1"/>
  <c r="G400" i="1"/>
  <c r="G402" i="1"/>
  <c r="K392" i="1"/>
  <c r="H392" i="1"/>
  <c r="H394" i="1"/>
  <c r="G391" i="1"/>
  <c r="G393" i="1"/>
  <c r="K383" i="1"/>
  <c r="H383" i="1"/>
  <c r="G385" i="1"/>
  <c r="G382" i="1"/>
  <c r="G384" i="1"/>
  <c r="H374" i="1"/>
  <c r="K374" i="1"/>
  <c r="G376" i="1"/>
  <c r="G373" i="1"/>
  <c r="G375" i="1"/>
  <c r="K366" i="1"/>
  <c r="H366" i="1"/>
  <c r="H365" i="1"/>
  <c r="G367" i="1"/>
  <c r="G364" i="1"/>
  <c r="H356" i="1"/>
  <c r="K356" i="1"/>
  <c r="G355" i="1"/>
  <c r="G358" i="1"/>
  <c r="G357" i="1"/>
  <c r="H347" i="1"/>
  <c r="K347" i="1"/>
  <c r="G349" i="1"/>
  <c r="G346" i="1"/>
  <c r="G348" i="1"/>
  <c r="K339" i="1"/>
  <c r="H339" i="1"/>
  <c r="H338" i="1"/>
  <c r="G340" i="1"/>
  <c r="G337" i="1"/>
  <c r="H329" i="1"/>
  <c r="K329" i="1"/>
  <c r="G331" i="1"/>
  <c r="G328" i="1"/>
  <c r="G330" i="1"/>
  <c r="H319" i="1"/>
  <c r="K319" i="1"/>
  <c r="H320" i="1"/>
  <c r="G321" i="1"/>
  <c r="G322" i="1"/>
  <c r="K310" i="1"/>
  <c r="H310" i="1"/>
  <c r="G313" i="1"/>
  <c r="G312" i="1"/>
  <c r="G311" i="1"/>
  <c r="H302" i="1"/>
  <c r="K302" i="1"/>
  <c r="G304" i="1"/>
  <c r="G301" i="1"/>
  <c r="G303" i="1"/>
  <c r="K293" i="1"/>
  <c r="H293" i="1"/>
  <c r="G295" i="1"/>
  <c r="G292" i="1"/>
  <c r="G294" i="1"/>
  <c r="I15" i="1"/>
  <c r="I16" i="1"/>
  <c r="I14" i="1"/>
  <c r="I13" i="1"/>
  <c r="K16" i="1"/>
  <c r="K15" i="1"/>
  <c r="K14" i="1"/>
  <c r="K13" i="1"/>
  <c r="H464" i="1" l="1"/>
  <c r="K464" i="1"/>
  <c r="I465" i="1"/>
  <c r="J465" i="1"/>
  <c r="H466" i="1"/>
  <c r="K466" i="1"/>
  <c r="H463" i="1"/>
  <c r="K463" i="1"/>
  <c r="K456" i="1"/>
  <c r="H456" i="1"/>
  <c r="K454" i="1"/>
  <c r="H454" i="1"/>
  <c r="K457" i="1"/>
  <c r="H457" i="1"/>
  <c r="J455" i="1"/>
  <c r="I455" i="1"/>
  <c r="K447" i="1"/>
  <c r="H447" i="1"/>
  <c r="I446" i="1"/>
  <c r="J446" i="1"/>
  <c r="K448" i="1"/>
  <c r="H448" i="1"/>
  <c r="K445" i="1"/>
  <c r="H445" i="1"/>
  <c r="K439" i="1"/>
  <c r="H439" i="1"/>
  <c r="I437" i="1"/>
  <c r="J437" i="1"/>
  <c r="H438" i="1"/>
  <c r="K438" i="1"/>
  <c r="H436" i="1"/>
  <c r="K436" i="1"/>
  <c r="H429" i="1"/>
  <c r="K429" i="1"/>
  <c r="K427" i="1"/>
  <c r="H427" i="1"/>
  <c r="J428" i="1"/>
  <c r="I428" i="1"/>
  <c r="K430" i="1"/>
  <c r="H430" i="1"/>
  <c r="K421" i="1"/>
  <c r="H421" i="1"/>
  <c r="K418" i="1"/>
  <c r="H418" i="1"/>
  <c r="H420" i="1"/>
  <c r="K420" i="1"/>
  <c r="J419" i="1"/>
  <c r="I419" i="1"/>
  <c r="K411" i="1"/>
  <c r="H411" i="1"/>
  <c r="K409" i="1"/>
  <c r="H409" i="1"/>
  <c r="K412" i="1"/>
  <c r="H412" i="1"/>
  <c r="I410" i="1"/>
  <c r="J410" i="1"/>
  <c r="K402" i="1"/>
  <c r="H402" i="1"/>
  <c r="K400" i="1"/>
  <c r="H400" i="1"/>
  <c r="K403" i="1"/>
  <c r="H403" i="1"/>
  <c r="I401" i="1"/>
  <c r="J401" i="1"/>
  <c r="H393" i="1"/>
  <c r="K393" i="1"/>
  <c r="J392" i="1"/>
  <c r="I392" i="1"/>
  <c r="K391" i="1"/>
  <c r="H391" i="1"/>
  <c r="J394" i="1"/>
  <c r="I394" i="1"/>
  <c r="J383" i="1"/>
  <c r="I383" i="1"/>
  <c r="K384" i="1"/>
  <c r="H384" i="1"/>
  <c r="K382" i="1"/>
  <c r="H382" i="1"/>
  <c r="H385" i="1"/>
  <c r="K385" i="1"/>
  <c r="K375" i="1"/>
  <c r="H375" i="1"/>
  <c r="K373" i="1"/>
  <c r="H373" i="1"/>
  <c r="K376" i="1"/>
  <c r="H376" i="1"/>
  <c r="J374" i="1"/>
  <c r="I374" i="1"/>
  <c r="J366" i="1"/>
  <c r="I366" i="1"/>
  <c r="K364" i="1"/>
  <c r="H364" i="1"/>
  <c r="K367" i="1"/>
  <c r="H367" i="1"/>
  <c r="J365" i="1"/>
  <c r="I365" i="1"/>
  <c r="K357" i="1"/>
  <c r="H357" i="1"/>
  <c r="K358" i="1"/>
  <c r="H358" i="1"/>
  <c r="K355" i="1"/>
  <c r="H355" i="1"/>
  <c r="I356" i="1"/>
  <c r="J356" i="1"/>
  <c r="K348" i="1"/>
  <c r="H348" i="1"/>
  <c r="K346" i="1"/>
  <c r="H346" i="1"/>
  <c r="K349" i="1"/>
  <c r="H349" i="1"/>
  <c r="I347" i="1"/>
  <c r="J347" i="1"/>
  <c r="J338" i="1"/>
  <c r="I338" i="1"/>
  <c r="J339" i="1"/>
  <c r="I339" i="1"/>
  <c r="K337" i="1"/>
  <c r="H337" i="1"/>
  <c r="K340" i="1"/>
  <c r="H340" i="1"/>
  <c r="K328" i="1"/>
  <c r="H328" i="1"/>
  <c r="K330" i="1"/>
  <c r="H330" i="1"/>
  <c r="K331" i="1"/>
  <c r="H331" i="1"/>
  <c r="J329" i="1"/>
  <c r="I329" i="1"/>
  <c r="J319" i="1"/>
  <c r="I319" i="1"/>
  <c r="K321" i="1"/>
  <c r="H321" i="1"/>
  <c r="K322" i="1"/>
  <c r="H322" i="1"/>
  <c r="J320" i="1"/>
  <c r="I320" i="1"/>
  <c r="I310" i="1"/>
  <c r="J310" i="1"/>
  <c r="H311" i="1"/>
  <c r="K311" i="1"/>
  <c r="K312" i="1"/>
  <c r="H312" i="1"/>
  <c r="H313" i="1"/>
  <c r="K313" i="1"/>
  <c r="K304" i="1"/>
  <c r="H304" i="1"/>
  <c r="K303" i="1"/>
  <c r="H303" i="1"/>
  <c r="K301" i="1"/>
  <c r="H301" i="1"/>
  <c r="J302" i="1"/>
  <c r="I302" i="1"/>
  <c r="K294" i="1"/>
  <c r="H294" i="1"/>
  <c r="K292" i="1"/>
  <c r="H292" i="1"/>
  <c r="H295" i="1"/>
  <c r="K295" i="1"/>
  <c r="I293" i="1"/>
  <c r="J293" i="1"/>
  <c r="I17" i="1"/>
  <c r="Q15" i="1"/>
  <c r="P15" i="1"/>
  <c r="O15" i="1"/>
  <c r="Q16" i="1"/>
  <c r="P16" i="1"/>
  <c r="O16" i="1"/>
  <c r="Q14" i="1"/>
  <c r="P14" i="1"/>
  <c r="O14" i="1"/>
  <c r="P13" i="1"/>
  <c r="Q13" i="1"/>
  <c r="O13" i="1"/>
  <c r="I463" i="1" l="1"/>
  <c r="J463" i="1"/>
  <c r="I466" i="1"/>
  <c r="J466" i="1"/>
  <c r="O465" i="1"/>
  <c r="Q465" i="1"/>
  <c r="P465" i="1"/>
  <c r="J464" i="1"/>
  <c r="I464" i="1"/>
  <c r="J454" i="1"/>
  <c r="I454" i="1"/>
  <c r="P455" i="1"/>
  <c r="O455" i="1"/>
  <c r="Q455" i="1"/>
  <c r="J457" i="1"/>
  <c r="I457" i="1"/>
  <c r="J456" i="1"/>
  <c r="I456" i="1"/>
  <c r="J445" i="1"/>
  <c r="I445" i="1"/>
  <c r="I449" i="1" s="1"/>
  <c r="J448" i="1"/>
  <c r="I448" i="1"/>
  <c r="P446" i="1"/>
  <c r="Q446" i="1"/>
  <c r="O446" i="1"/>
  <c r="I447" i="1"/>
  <c r="J447" i="1"/>
  <c r="I439" i="1"/>
  <c r="J439" i="1"/>
  <c r="J436" i="1"/>
  <c r="I436" i="1"/>
  <c r="J438" i="1"/>
  <c r="I438" i="1"/>
  <c r="Q437" i="1"/>
  <c r="O437" i="1"/>
  <c r="P437" i="1"/>
  <c r="P428" i="1"/>
  <c r="Q428" i="1"/>
  <c r="O428" i="1"/>
  <c r="I427" i="1"/>
  <c r="J427" i="1"/>
  <c r="J430" i="1"/>
  <c r="I430" i="1"/>
  <c r="I429" i="1"/>
  <c r="J429" i="1"/>
  <c r="O419" i="1"/>
  <c r="Q419" i="1"/>
  <c r="P419" i="1"/>
  <c r="J420" i="1"/>
  <c r="I420" i="1"/>
  <c r="J418" i="1"/>
  <c r="I418" i="1"/>
  <c r="I421" i="1"/>
  <c r="J421" i="1"/>
  <c r="Q410" i="1"/>
  <c r="P410" i="1"/>
  <c r="O410" i="1"/>
  <c r="J412" i="1"/>
  <c r="I412" i="1"/>
  <c r="I409" i="1"/>
  <c r="J409" i="1"/>
  <c r="J411" i="1"/>
  <c r="I411" i="1"/>
  <c r="P401" i="1"/>
  <c r="Q401" i="1"/>
  <c r="O401" i="1"/>
  <c r="J403" i="1"/>
  <c r="I403" i="1"/>
  <c r="J400" i="1"/>
  <c r="I400" i="1"/>
  <c r="J402" i="1"/>
  <c r="I402" i="1"/>
  <c r="J391" i="1"/>
  <c r="I391" i="1"/>
  <c r="Q392" i="1"/>
  <c r="P392" i="1"/>
  <c r="O392" i="1"/>
  <c r="Q394" i="1"/>
  <c r="P394" i="1"/>
  <c r="O394" i="1"/>
  <c r="J393" i="1"/>
  <c r="I393" i="1"/>
  <c r="I385" i="1"/>
  <c r="J385" i="1"/>
  <c r="J382" i="1"/>
  <c r="I382" i="1"/>
  <c r="J384" i="1"/>
  <c r="I384" i="1"/>
  <c r="O383" i="1"/>
  <c r="P383" i="1"/>
  <c r="Q383" i="1"/>
  <c r="Q374" i="1"/>
  <c r="P374" i="1"/>
  <c r="O374" i="1"/>
  <c r="J376" i="1"/>
  <c r="I376" i="1"/>
  <c r="J373" i="1"/>
  <c r="I373" i="1"/>
  <c r="I377" i="1" s="1"/>
  <c r="J375" i="1"/>
  <c r="I375" i="1"/>
  <c r="Q366" i="1"/>
  <c r="P366" i="1"/>
  <c r="O366" i="1"/>
  <c r="J367" i="1"/>
  <c r="I367" i="1"/>
  <c r="Q365" i="1"/>
  <c r="P365" i="1"/>
  <c r="O365" i="1"/>
  <c r="J364" i="1"/>
  <c r="I364" i="1"/>
  <c r="I368" i="1" s="1"/>
  <c r="J358" i="1"/>
  <c r="I358" i="1"/>
  <c r="J357" i="1"/>
  <c r="I357" i="1"/>
  <c r="Q356" i="1"/>
  <c r="P356" i="1"/>
  <c r="O356" i="1"/>
  <c r="J355" i="1"/>
  <c r="I355" i="1"/>
  <c r="P347" i="1"/>
  <c r="Q347" i="1"/>
  <c r="O347" i="1"/>
  <c r="J349" i="1"/>
  <c r="I349" i="1"/>
  <c r="J346" i="1"/>
  <c r="I346" i="1"/>
  <c r="J348" i="1"/>
  <c r="I348" i="1"/>
  <c r="J340" i="1"/>
  <c r="I340" i="1"/>
  <c r="Q338" i="1"/>
  <c r="P338" i="1"/>
  <c r="O338" i="1"/>
  <c r="J337" i="1"/>
  <c r="I337" i="1"/>
  <c r="I341" i="1" s="1"/>
  <c r="Q339" i="1"/>
  <c r="P339" i="1"/>
  <c r="O339" i="1"/>
  <c r="Q329" i="1"/>
  <c r="P329" i="1"/>
  <c r="O329" i="1"/>
  <c r="J331" i="1"/>
  <c r="I331" i="1"/>
  <c r="J330" i="1"/>
  <c r="I330" i="1"/>
  <c r="J328" i="1"/>
  <c r="I328" i="1"/>
  <c r="I332" i="1" s="1"/>
  <c r="Q319" i="1"/>
  <c r="P319" i="1"/>
  <c r="O319" i="1"/>
  <c r="I323" i="1"/>
  <c r="P320" i="1"/>
  <c r="O320" i="1"/>
  <c r="Q320" i="1"/>
  <c r="J322" i="1"/>
  <c r="I322" i="1"/>
  <c r="J321" i="1"/>
  <c r="I321" i="1"/>
  <c r="J313" i="1"/>
  <c r="I313" i="1"/>
  <c r="J312" i="1"/>
  <c r="I312" i="1"/>
  <c r="J311" i="1"/>
  <c r="I311" i="1"/>
  <c r="P310" i="1"/>
  <c r="Q310" i="1"/>
  <c r="O310" i="1"/>
  <c r="I314" i="1"/>
  <c r="J304" i="1"/>
  <c r="I304" i="1"/>
  <c r="P302" i="1"/>
  <c r="Q302" i="1"/>
  <c r="O302" i="1"/>
  <c r="J301" i="1"/>
  <c r="I301" i="1"/>
  <c r="J303" i="1"/>
  <c r="I303" i="1"/>
  <c r="J294" i="1"/>
  <c r="I294" i="1"/>
  <c r="Q293" i="1"/>
  <c r="P293" i="1"/>
  <c r="O293" i="1"/>
  <c r="J295" i="1"/>
  <c r="I295" i="1"/>
  <c r="J292" i="1"/>
  <c r="I292" i="1"/>
  <c r="I296" i="1" s="1"/>
  <c r="O17" i="1"/>
  <c r="A22" i="1" s="1"/>
  <c r="Q17" i="1"/>
  <c r="C22" i="1" s="1"/>
  <c r="P17" i="1"/>
  <c r="B22" i="1" s="1"/>
  <c r="P464" i="1" l="1"/>
  <c r="O464" i="1"/>
  <c r="Q464" i="1"/>
  <c r="Q466" i="1"/>
  <c r="P466" i="1"/>
  <c r="O466" i="1"/>
  <c r="Q463" i="1"/>
  <c r="Q467" i="1" s="1"/>
  <c r="P463" i="1"/>
  <c r="P467" i="1" s="1"/>
  <c r="O463" i="1"/>
  <c r="I467" i="1"/>
  <c r="O456" i="1"/>
  <c r="Q456" i="1"/>
  <c r="P456" i="1"/>
  <c r="Q457" i="1"/>
  <c r="P457" i="1"/>
  <c r="O457" i="1"/>
  <c r="I458" i="1"/>
  <c r="Q454" i="1"/>
  <c r="Q458" i="1" s="1"/>
  <c r="P454" i="1"/>
  <c r="P458" i="1" s="1"/>
  <c r="O454" i="1"/>
  <c r="O458" i="1" s="1"/>
  <c r="Q445" i="1"/>
  <c r="Q449" i="1" s="1"/>
  <c r="P445" i="1"/>
  <c r="P449" i="1" s="1"/>
  <c r="O445" i="1"/>
  <c r="O447" i="1"/>
  <c r="Q447" i="1"/>
  <c r="P447" i="1"/>
  <c r="O448" i="1"/>
  <c r="Q448" i="1"/>
  <c r="P448" i="1"/>
  <c r="O438" i="1"/>
  <c r="Q438" i="1"/>
  <c r="P438" i="1"/>
  <c r="I440" i="1"/>
  <c r="Q436" i="1"/>
  <c r="P436" i="1"/>
  <c r="O436" i="1"/>
  <c r="O439" i="1"/>
  <c r="Q439" i="1"/>
  <c r="P439" i="1"/>
  <c r="O429" i="1"/>
  <c r="Q429" i="1"/>
  <c r="P429" i="1"/>
  <c r="I431" i="1"/>
  <c r="Q430" i="1"/>
  <c r="P430" i="1"/>
  <c r="O430" i="1"/>
  <c r="Q427" i="1"/>
  <c r="Q431" i="1" s="1"/>
  <c r="O427" i="1"/>
  <c r="O431" i="1" s="1"/>
  <c r="P427" i="1"/>
  <c r="P431" i="1" s="1"/>
  <c r="Q421" i="1"/>
  <c r="P421" i="1"/>
  <c r="O421" i="1"/>
  <c r="I422" i="1"/>
  <c r="Q418" i="1"/>
  <c r="O418" i="1"/>
  <c r="P418" i="1"/>
  <c r="O420" i="1"/>
  <c r="Q420" i="1"/>
  <c r="P420" i="1"/>
  <c r="Q411" i="1"/>
  <c r="P411" i="1"/>
  <c r="O411" i="1"/>
  <c r="P409" i="1"/>
  <c r="Q409" i="1"/>
  <c r="O409" i="1"/>
  <c r="I413" i="1"/>
  <c r="Q412" i="1"/>
  <c r="P412" i="1"/>
  <c r="O412" i="1"/>
  <c r="Q402" i="1"/>
  <c r="P402" i="1"/>
  <c r="O402" i="1"/>
  <c r="I404" i="1"/>
  <c r="Q400" i="1"/>
  <c r="P400" i="1"/>
  <c r="O400" i="1"/>
  <c r="Q403" i="1"/>
  <c r="P403" i="1"/>
  <c r="O403" i="1"/>
  <c r="Q391" i="1"/>
  <c r="P391" i="1"/>
  <c r="O391" i="1"/>
  <c r="Q393" i="1"/>
  <c r="P393" i="1"/>
  <c r="O393" i="1"/>
  <c r="I395" i="1"/>
  <c r="I386" i="1"/>
  <c r="Q382" i="1"/>
  <c r="P382" i="1"/>
  <c r="O382" i="1"/>
  <c r="Q384" i="1"/>
  <c r="P384" i="1"/>
  <c r="O384" i="1"/>
  <c r="Q385" i="1"/>
  <c r="P385" i="1"/>
  <c r="O385" i="1"/>
  <c r="O375" i="1"/>
  <c r="Q375" i="1"/>
  <c r="P375" i="1"/>
  <c r="Q373" i="1"/>
  <c r="P373" i="1"/>
  <c r="O373" i="1"/>
  <c r="Q376" i="1"/>
  <c r="P376" i="1"/>
  <c r="O376" i="1"/>
  <c r="Q364" i="1"/>
  <c r="P364" i="1"/>
  <c r="O364" i="1"/>
  <c r="Q367" i="1"/>
  <c r="P367" i="1"/>
  <c r="O367" i="1"/>
  <c r="Q358" i="1"/>
  <c r="O358" i="1"/>
  <c r="P358" i="1"/>
  <c r="O357" i="1"/>
  <c r="Q357" i="1"/>
  <c r="P357" i="1"/>
  <c r="I359" i="1"/>
  <c r="Q355" i="1"/>
  <c r="P355" i="1"/>
  <c r="O355" i="1"/>
  <c r="I350" i="1"/>
  <c r="Q346" i="1"/>
  <c r="Q350" i="1" s="1"/>
  <c r="P346" i="1"/>
  <c r="P350" i="1" s="1"/>
  <c r="O346" i="1"/>
  <c r="O348" i="1"/>
  <c r="Q348" i="1"/>
  <c r="P348" i="1"/>
  <c r="P349" i="1"/>
  <c r="O349" i="1"/>
  <c r="Q349" i="1"/>
  <c r="P337" i="1"/>
  <c r="O337" i="1"/>
  <c r="Q337" i="1"/>
  <c r="Q340" i="1"/>
  <c r="P340" i="1"/>
  <c r="O340" i="1"/>
  <c r="Q328" i="1"/>
  <c r="P328" i="1"/>
  <c r="O328" i="1"/>
  <c r="O330" i="1"/>
  <c r="Q330" i="1"/>
  <c r="P330" i="1"/>
  <c r="Q331" i="1"/>
  <c r="P331" i="1"/>
  <c r="O331" i="1"/>
  <c r="O323" i="1"/>
  <c r="Q321" i="1"/>
  <c r="Q323" i="1" s="1"/>
  <c r="P321" i="1"/>
  <c r="P323" i="1" s="1"/>
  <c r="O321" i="1"/>
  <c r="Q322" i="1"/>
  <c r="P322" i="1"/>
  <c r="O322" i="1"/>
  <c r="P311" i="1"/>
  <c r="P314" i="1" s="1"/>
  <c r="O311" i="1"/>
  <c r="O314" i="1" s="1"/>
  <c r="Q311" i="1"/>
  <c r="Q314" i="1" s="1"/>
  <c r="O312" i="1"/>
  <c r="P312" i="1"/>
  <c r="Q312" i="1"/>
  <c r="Q313" i="1"/>
  <c r="P313" i="1"/>
  <c r="O313" i="1"/>
  <c r="O303" i="1"/>
  <c r="Q303" i="1"/>
  <c r="P303" i="1"/>
  <c r="I305" i="1"/>
  <c r="Q301" i="1"/>
  <c r="P301" i="1"/>
  <c r="O301" i="1"/>
  <c r="Q304" i="1"/>
  <c r="P304" i="1"/>
  <c r="O304" i="1"/>
  <c r="Q294" i="1"/>
  <c r="P294" i="1"/>
  <c r="O294" i="1"/>
  <c r="Q292" i="1"/>
  <c r="P292" i="1"/>
  <c r="O292" i="1"/>
  <c r="Q295" i="1"/>
  <c r="P295" i="1"/>
  <c r="O295" i="1"/>
  <c r="G22" i="1"/>
  <c r="K22" i="1" s="1"/>
  <c r="G23" i="1"/>
  <c r="K23" i="1" s="1"/>
  <c r="G24" i="1"/>
  <c r="K24" i="1" s="1"/>
  <c r="G25" i="1"/>
  <c r="K25" i="1" s="1"/>
  <c r="O467" i="1" l="1"/>
  <c r="O449" i="1"/>
  <c r="O440" i="1"/>
  <c r="P440" i="1"/>
  <c r="Q440" i="1"/>
  <c r="P422" i="1"/>
  <c r="O422" i="1"/>
  <c r="Q422" i="1"/>
  <c r="Q413" i="1"/>
  <c r="O413" i="1"/>
  <c r="P413" i="1"/>
  <c r="Q404" i="1"/>
  <c r="O404" i="1"/>
  <c r="P404" i="1"/>
  <c r="P395" i="1"/>
  <c r="O395" i="1"/>
  <c r="Q395" i="1"/>
  <c r="O386" i="1"/>
  <c r="P386" i="1"/>
  <c r="Q386" i="1"/>
  <c r="O377" i="1"/>
  <c r="P377" i="1"/>
  <c r="Q377" i="1"/>
  <c r="O368" i="1"/>
  <c r="P368" i="1"/>
  <c r="Q368" i="1"/>
  <c r="P359" i="1"/>
  <c r="O359" i="1"/>
  <c r="Q359" i="1"/>
  <c r="O350" i="1"/>
  <c r="Q341" i="1"/>
  <c r="O341" i="1"/>
  <c r="P341" i="1"/>
  <c r="O332" i="1"/>
  <c r="P332" i="1"/>
  <c r="Q332" i="1"/>
  <c r="P305" i="1"/>
  <c r="O305" i="1"/>
  <c r="Q305" i="1"/>
  <c r="O296" i="1"/>
  <c r="P296" i="1"/>
  <c r="Q296" i="1"/>
  <c r="H25" i="1"/>
  <c r="J25" i="1" s="1"/>
  <c r="P25" i="1" s="1"/>
  <c r="H22" i="1"/>
  <c r="J22" i="1" s="1"/>
  <c r="H24" i="1"/>
  <c r="J24" i="1" s="1"/>
  <c r="H23" i="1"/>
  <c r="J23" i="1" s="1"/>
  <c r="Q23" i="1" s="1"/>
  <c r="P22" i="1" l="1"/>
  <c r="O22" i="1"/>
  <c r="Q22" i="1"/>
  <c r="I22" i="1"/>
  <c r="I26" i="1" s="1"/>
  <c r="I25" i="1"/>
  <c r="Q24" i="1"/>
  <c r="P24" i="1"/>
  <c r="O24" i="1"/>
  <c r="I24" i="1"/>
  <c r="I23" i="1"/>
  <c r="O23" i="1"/>
  <c r="P23" i="1"/>
  <c r="Q25" i="1"/>
  <c r="O25" i="1"/>
  <c r="Q26" i="1" l="1"/>
  <c r="C31" i="1" s="1"/>
  <c r="P26" i="1"/>
  <c r="B31" i="1" s="1"/>
  <c r="O26" i="1"/>
  <c r="A31" i="1" s="1"/>
  <c r="G34" i="1" l="1"/>
  <c r="H34" i="1" s="1"/>
  <c r="G31" i="1"/>
  <c r="H31" i="1" s="1"/>
  <c r="G32" i="1"/>
  <c r="K32" i="1" s="1"/>
  <c r="G33" i="1"/>
  <c r="H33" i="1" s="1"/>
  <c r="K34" i="1" l="1"/>
  <c r="P34" i="1" s="1"/>
  <c r="K33" i="1"/>
  <c r="H32" i="1"/>
  <c r="I32" i="1" s="1"/>
  <c r="K31" i="1"/>
  <c r="I33" i="1"/>
  <c r="J33" i="1"/>
  <c r="J31" i="1"/>
  <c r="I31" i="1"/>
  <c r="I34" i="1"/>
  <c r="J34" i="1"/>
  <c r="O34" i="1" l="1"/>
  <c r="Q34" i="1"/>
  <c r="O33" i="1"/>
  <c r="J32" i="1"/>
  <c r="Q32" i="1" s="1"/>
  <c r="P31" i="1"/>
  <c r="I35" i="1"/>
  <c r="Q31" i="1"/>
  <c r="O31" i="1"/>
  <c r="P33" i="1"/>
  <c r="Q33" i="1"/>
  <c r="P32" i="1" l="1"/>
  <c r="P35" i="1" s="1"/>
  <c r="B40" i="1" s="1"/>
  <c r="Q35" i="1"/>
  <c r="C40" i="1" s="1"/>
  <c r="O32" i="1"/>
  <c r="O35" i="1" s="1"/>
  <c r="A40" i="1" s="1"/>
  <c r="G43" i="1" l="1"/>
  <c r="K43" i="1" s="1"/>
  <c r="G40" i="1"/>
  <c r="K40" i="1" s="1"/>
  <c r="G41" i="1"/>
  <c r="K41" i="1" s="1"/>
  <c r="G42" i="1"/>
  <c r="K42" i="1" s="1"/>
  <c r="H42" i="1" l="1"/>
  <c r="I42" i="1" s="1"/>
  <c r="H43" i="1"/>
  <c r="J43" i="1" s="1"/>
  <c r="H41" i="1"/>
  <c r="J41" i="1" s="1"/>
  <c r="H40" i="1"/>
  <c r="J40" i="1" s="1"/>
  <c r="J42" i="1" l="1"/>
  <c r="Q42" i="1" s="1"/>
  <c r="I43" i="1"/>
  <c r="I41" i="1"/>
  <c r="I40" i="1"/>
  <c r="P41" i="1"/>
  <c r="O41" i="1"/>
  <c r="Q41" i="1"/>
  <c r="P40" i="1"/>
  <c r="O40" i="1"/>
  <c r="Q40" i="1"/>
  <c r="P43" i="1"/>
  <c r="O43" i="1"/>
  <c r="Q43" i="1"/>
  <c r="P42" i="1" l="1"/>
  <c r="P44" i="1" s="1"/>
  <c r="B49" i="1" s="1"/>
  <c r="O42" i="1"/>
  <c r="O44" i="1" s="1"/>
  <c r="A49" i="1" s="1"/>
  <c r="I44" i="1"/>
  <c r="Q44" i="1"/>
  <c r="C49" i="1" s="1"/>
  <c r="G49" i="1" l="1"/>
  <c r="G50" i="1"/>
  <c r="G52" i="1"/>
  <c r="G51" i="1"/>
  <c r="K51" i="1" l="1"/>
  <c r="H51" i="1"/>
  <c r="K52" i="1"/>
  <c r="H52" i="1"/>
  <c r="K50" i="1"/>
  <c r="H50" i="1"/>
  <c r="K49" i="1"/>
  <c r="H49" i="1"/>
  <c r="J49" i="1" l="1"/>
  <c r="I49" i="1"/>
  <c r="I50" i="1"/>
  <c r="J50" i="1"/>
  <c r="I51" i="1"/>
  <c r="J51" i="1"/>
  <c r="J52" i="1"/>
  <c r="I52" i="1"/>
  <c r="O51" i="1" l="1"/>
  <c r="Q51" i="1"/>
  <c r="P51" i="1"/>
  <c r="O52" i="1"/>
  <c r="Q52" i="1"/>
  <c r="P52" i="1"/>
  <c r="P50" i="1"/>
  <c r="O50" i="1"/>
  <c r="Q50" i="1"/>
  <c r="I53" i="1"/>
  <c r="Q49" i="1"/>
  <c r="O49" i="1"/>
  <c r="P49" i="1"/>
  <c r="P53" i="1" l="1"/>
  <c r="B58" i="1" s="1"/>
  <c r="O53" i="1"/>
  <c r="A58" i="1" s="1"/>
  <c r="Q53" i="1"/>
  <c r="C58" i="1" s="1"/>
  <c r="G61" i="1" l="1"/>
  <c r="H61" i="1" s="1"/>
  <c r="G59" i="1"/>
  <c r="K59" i="1" s="1"/>
  <c r="G60" i="1"/>
  <c r="H60" i="1" s="1"/>
  <c r="G58" i="1"/>
  <c r="H58" i="1" s="1"/>
  <c r="H59" i="1" l="1"/>
  <c r="I59" i="1" s="1"/>
  <c r="K60" i="1"/>
  <c r="K58" i="1"/>
  <c r="K61" i="1"/>
  <c r="I61" i="1"/>
  <c r="J61" i="1"/>
  <c r="I60" i="1"/>
  <c r="J60" i="1"/>
  <c r="J58" i="1"/>
  <c r="I58" i="1"/>
  <c r="J59" i="1" l="1"/>
  <c r="P59" i="1" s="1"/>
  <c r="I62" i="1"/>
  <c r="P58" i="1"/>
  <c r="O58" i="1"/>
  <c r="Q58" i="1"/>
  <c r="O60" i="1"/>
  <c r="Q60" i="1"/>
  <c r="P60" i="1"/>
  <c r="O61" i="1"/>
  <c r="Q61" i="1"/>
  <c r="P61" i="1"/>
  <c r="O59" i="1" l="1"/>
  <c r="O62" i="1" s="1"/>
  <c r="A67" i="1" s="1"/>
  <c r="Q59" i="1"/>
  <c r="Q62" i="1" s="1"/>
  <c r="C67" i="1" s="1"/>
  <c r="P62" i="1"/>
  <c r="B67" i="1" s="1"/>
  <c r="G68" i="1" l="1"/>
  <c r="G70" i="1"/>
  <c r="G69" i="1"/>
  <c r="G67" i="1"/>
  <c r="K67" i="1" l="1"/>
  <c r="H67" i="1"/>
  <c r="K69" i="1"/>
  <c r="H69" i="1"/>
  <c r="H70" i="1"/>
  <c r="K70" i="1"/>
  <c r="H68" i="1"/>
  <c r="K68" i="1"/>
  <c r="J68" i="1" l="1"/>
  <c r="I68" i="1"/>
  <c r="I70" i="1"/>
  <c r="J70" i="1"/>
  <c r="J69" i="1"/>
  <c r="I69" i="1"/>
  <c r="J67" i="1"/>
  <c r="I67" i="1"/>
  <c r="I71" i="1" l="1"/>
  <c r="P67" i="1"/>
  <c r="Q67" i="1"/>
  <c r="O67" i="1"/>
  <c r="Q69" i="1"/>
  <c r="P69" i="1"/>
  <c r="O69" i="1"/>
  <c r="O70" i="1"/>
  <c r="P70" i="1"/>
  <c r="Q70" i="1"/>
  <c r="Q68" i="1"/>
  <c r="O68" i="1"/>
  <c r="P68" i="1"/>
  <c r="O71" i="1" l="1"/>
  <c r="A76" i="1" s="1"/>
  <c r="Q71" i="1"/>
  <c r="C76" i="1" s="1"/>
  <c r="P71" i="1"/>
  <c r="B76" i="1" s="1"/>
  <c r="G77" i="1" l="1"/>
  <c r="G79" i="1"/>
  <c r="G76" i="1"/>
  <c r="G78" i="1"/>
  <c r="K78" i="1" l="1"/>
  <c r="H78" i="1"/>
  <c r="H76" i="1"/>
  <c r="K76" i="1"/>
  <c r="H79" i="1"/>
  <c r="K79" i="1"/>
  <c r="K77" i="1"/>
  <c r="H77" i="1"/>
  <c r="I77" i="1" l="1"/>
  <c r="J77" i="1"/>
  <c r="J79" i="1"/>
  <c r="I79" i="1"/>
  <c r="I76" i="1"/>
  <c r="J76" i="1"/>
  <c r="I78" i="1"/>
  <c r="J78" i="1"/>
  <c r="O78" i="1" l="1"/>
  <c r="Q78" i="1"/>
  <c r="P78" i="1"/>
  <c r="P76" i="1"/>
  <c r="O76" i="1"/>
  <c r="Q76" i="1"/>
  <c r="I80" i="1"/>
  <c r="Q79" i="1"/>
  <c r="P79" i="1"/>
  <c r="O79" i="1"/>
  <c r="P77" i="1"/>
  <c r="O77" i="1"/>
  <c r="Q77" i="1"/>
  <c r="Q80" i="1" l="1"/>
  <c r="C85" i="1" s="1"/>
  <c r="O80" i="1"/>
  <c r="A85" i="1" s="1"/>
  <c r="P80" i="1"/>
  <c r="B85" i="1" s="1"/>
  <c r="G87" i="1" l="1"/>
  <c r="G86" i="1"/>
  <c r="G88" i="1"/>
  <c r="G85" i="1"/>
  <c r="K85" i="1" l="1"/>
  <c r="H85" i="1"/>
  <c r="K88" i="1"/>
  <c r="H88" i="1"/>
  <c r="H86" i="1"/>
  <c r="K86" i="1"/>
  <c r="K87" i="1"/>
  <c r="H87" i="1"/>
  <c r="J87" i="1" l="1"/>
  <c r="I87" i="1"/>
  <c r="J86" i="1"/>
  <c r="I86" i="1"/>
  <c r="J88" i="1"/>
  <c r="I88" i="1"/>
  <c r="I85" i="1"/>
  <c r="I89" i="1" s="1"/>
  <c r="J85" i="1"/>
  <c r="Q85" i="1" l="1"/>
  <c r="P85" i="1"/>
  <c r="O85" i="1"/>
  <c r="Q88" i="1"/>
  <c r="O88" i="1"/>
  <c r="P88" i="1"/>
  <c r="P86" i="1"/>
  <c r="Q86" i="1"/>
  <c r="O86" i="1"/>
  <c r="Q87" i="1"/>
  <c r="O87" i="1"/>
  <c r="P87" i="1"/>
  <c r="O89" i="1" l="1"/>
  <c r="A94" i="1" s="1"/>
  <c r="P89" i="1"/>
  <c r="B94" i="1" s="1"/>
  <c r="Q89" i="1"/>
  <c r="C94" i="1" s="1"/>
  <c r="G96" i="1" l="1"/>
  <c r="K96" i="1" s="1"/>
  <c r="G97" i="1"/>
  <c r="G94" i="1"/>
  <c r="G95" i="1"/>
  <c r="H96" i="1" l="1"/>
  <c r="J96" i="1" s="1"/>
  <c r="K95" i="1"/>
  <c r="H95" i="1"/>
  <c r="K94" i="1"/>
  <c r="H94" i="1"/>
  <c r="K97" i="1"/>
  <c r="H97" i="1"/>
  <c r="I96" i="1" l="1"/>
  <c r="O96" i="1"/>
  <c r="Q96" i="1"/>
  <c r="P96" i="1"/>
  <c r="I97" i="1"/>
  <c r="J97" i="1"/>
  <c r="J94" i="1"/>
  <c r="I94" i="1"/>
  <c r="J95" i="1"/>
  <c r="I95" i="1"/>
  <c r="O97" i="1" l="1"/>
  <c r="Q97" i="1"/>
  <c r="P97" i="1"/>
  <c r="Q95" i="1"/>
  <c r="O95" i="1"/>
  <c r="P95" i="1"/>
  <c r="I98" i="1"/>
  <c r="Q94" i="1"/>
  <c r="P94" i="1"/>
  <c r="O94" i="1"/>
  <c r="P98" i="1" l="1"/>
  <c r="B103" i="1" s="1"/>
  <c r="O98" i="1"/>
  <c r="A103" i="1" s="1"/>
  <c r="Q98" i="1"/>
  <c r="C103" i="1" s="1"/>
  <c r="G106" i="1" l="1"/>
  <c r="H106" i="1" s="1"/>
  <c r="G104" i="1"/>
  <c r="G105" i="1"/>
  <c r="K105" i="1" s="1"/>
  <c r="G103" i="1"/>
  <c r="H103" i="1" s="1"/>
  <c r="H104" i="1"/>
  <c r="K104" i="1"/>
  <c r="H105" i="1"/>
  <c r="K106" i="1" l="1"/>
  <c r="K103" i="1"/>
  <c r="J106" i="1"/>
  <c r="I106" i="1"/>
  <c r="J103" i="1"/>
  <c r="I103" i="1"/>
  <c r="J105" i="1"/>
  <c r="I105" i="1"/>
  <c r="I104" i="1"/>
  <c r="J104" i="1"/>
  <c r="O104" i="1" l="1"/>
  <c r="P104" i="1"/>
  <c r="Q104" i="1"/>
  <c r="P105" i="1"/>
  <c r="Q105" i="1"/>
  <c r="O105" i="1"/>
  <c r="I107" i="1"/>
  <c r="Q103" i="1"/>
  <c r="O103" i="1"/>
  <c r="P103" i="1"/>
  <c r="P106" i="1"/>
  <c r="O106" i="1"/>
  <c r="Q106" i="1"/>
  <c r="P107" i="1" l="1"/>
  <c r="B112" i="1" s="1"/>
  <c r="O107" i="1"/>
  <c r="A112" i="1" s="1"/>
  <c r="Q107" i="1"/>
  <c r="C112" i="1" s="1"/>
  <c r="G113" i="1" l="1"/>
  <c r="G112" i="1"/>
  <c r="G115" i="1"/>
  <c r="G114" i="1"/>
  <c r="H114" i="1" l="1"/>
  <c r="K114" i="1"/>
  <c r="K115" i="1"/>
  <c r="H115" i="1"/>
  <c r="K112" i="1"/>
  <c r="H112" i="1"/>
  <c r="K113" i="1"/>
  <c r="H113" i="1"/>
  <c r="I112" i="1" l="1"/>
  <c r="J112" i="1"/>
  <c r="J115" i="1"/>
  <c r="I115" i="1"/>
  <c r="I113" i="1"/>
  <c r="J113" i="1"/>
  <c r="J114" i="1"/>
  <c r="I114" i="1"/>
  <c r="O114" i="1" l="1"/>
  <c r="P114" i="1"/>
  <c r="Q114" i="1"/>
  <c r="O115" i="1"/>
  <c r="Q115" i="1"/>
  <c r="P115" i="1"/>
  <c r="Q112" i="1"/>
  <c r="O112" i="1"/>
  <c r="P112" i="1"/>
  <c r="Q113" i="1"/>
  <c r="O113" i="1"/>
  <c r="P113" i="1"/>
  <c r="I116" i="1"/>
  <c r="P116" i="1" l="1"/>
  <c r="B121" i="1" s="1"/>
  <c r="O116" i="1"/>
  <c r="A121" i="1" s="1"/>
  <c r="Q116" i="1"/>
  <c r="C121" i="1" s="1"/>
  <c r="G122" i="1" l="1"/>
  <c r="G124" i="1"/>
  <c r="G121" i="1"/>
  <c r="G123" i="1"/>
  <c r="K123" i="1" l="1"/>
  <c r="H123" i="1"/>
  <c r="K121" i="1"/>
  <c r="H121" i="1"/>
  <c r="K124" i="1"/>
  <c r="H124" i="1"/>
  <c r="H122" i="1"/>
  <c r="K122" i="1"/>
  <c r="J122" i="1" l="1"/>
  <c r="I122" i="1"/>
  <c r="J121" i="1"/>
  <c r="I121" i="1"/>
  <c r="I123" i="1"/>
  <c r="J123" i="1"/>
  <c r="J124" i="1"/>
  <c r="I124" i="1"/>
  <c r="P124" i="1" l="1"/>
  <c r="O124" i="1"/>
  <c r="Q124" i="1"/>
  <c r="O123" i="1"/>
  <c r="Q123" i="1"/>
  <c r="P123" i="1"/>
  <c r="I125" i="1"/>
  <c r="P121" i="1"/>
  <c r="Q121" i="1"/>
  <c r="O121" i="1"/>
  <c r="Q122" i="1"/>
  <c r="P122" i="1"/>
  <c r="O122" i="1"/>
  <c r="O125" i="1" l="1"/>
  <c r="A130" i="1" s="1"/>
  <c r="Q125" i="1"/>
  <c r="C130" i="1" s="1"/>
  <c r="P125" i="1"/>
  <c r="B130" i="1" s="1"/>
  <c r="G131" i="1" l="1"/>
  <c r="G130" i="1"/>
  <c r="G133" i="1"/>
  <c r="G132" i="1"/>
  <c r="H132" i="1" l="1"/>
  <c r="K132" i="1"/>
  <c r="K133" i="1"/>
  <c r="H133" i="1"/>
  <c r="K130" i="1"/>
  <c r="H130" i="1"/>
  <c r="K131" i="1"/>
  <c r="H131" i="1"/>
  <c r="I130" i="1" l="1"/>
  <c r="J130" i="1"/>
  <c r="I131" i="1"/>
  <c r="J131" i="1"/>
  <c r="J133" i="1"/>
  <c r="I133" i="1"/>
  <c r="I132" i="1"/>
  <c r="J132" i="1"/>
  <c r="Q132" i="1" l="1"/>
  <c r="P132" i="1"/>
  <c r="O132" i="1"/>
  <c r="O133" i="1"/>
  <c r="Q133" i="1"/>
  <c r="P133" i="1"/>
  <c r="Q131" i="1"/>
  <c r="P131" i="1"/>
  <c r="O131" i="1"/>
  <c r="Q130" i="1"/>
  <c r="O130" i="1"/>
  <c r="P130" i="1"/>
  <c r="I134" i="1"/>
  <c r="P134" i="1" l="1"/>
  <c r="B139" i="1" s="1"/>
  <c r="O134" i="1"/>
  <c r="A139" i="1" s="1"/>
  <c r="Q134" i="1"/>
  <c r="C139" i="1" s="1"/>
  <c r="G140" i="1" l="1"/>
  <c r="H140" i="1" s="1"/>
  <c r="G141" i="1"/>
  <c r="H141" i="1" s="1"/>
  <c r="G139" i="1"/>
  <c r="K139" i="1" s="1"/>
  <c r="G142" i="1"/>
  <c r="K142" i="1" s="1"/>
  <c r="K140" i="1" l="1"/>
  <c r="H142" i="1"/>
  <c r="H139" i="1"/>
  <c r="K141" i="1"/>
  <c r="J142" i="1"/>
  <c r="I142" i="1"/>
  <c r="I140" i="1"/>
  <c r="J140" i="1"/>
  <c r="J139" i="1"/>
  <c r="I139" i="1"/>
  <c r="I141" i="1"/>
  <c r="J141" i="1"/>
  <c r="P141" i="1" l="1"/>
  <c r="O141" i="1"/>
  <c r="Q141" i="1"/>
  <c r="I143" i="1"/>
  <c r="Q139" i="1"/>
  <c r="P139" i="1"/>
  <c r="O139" i="1"/>
  <c r="P140" i="1"/>
  <c r="O140" i="1"/>
  <c r="Q140" i="1"/>
  <c r="P142" i="1"/>
  <c r="Q142" i="1"/>
  <c r="O142" i="1"/>
  <c r="P143" i="1" l="1"/>
  <c r="B148" i="1" s="1"/>
  <c r="O143" i="1"/>
  <c r="A148" i="1" s="1"/>
  <c r="Q143" i="1"/>
  <c r="C148" i="1" s="1"/>
  <c r="G149" i="1" l="1"/>
  <c r="G151" i="1"/>
  <c r="G148" i="1"/>
  <c r="G150" i="1"/>
  <c r="K150" i="1" l="1"/>
  <c r="H150" i="1"/>
  <c r="H148" i="1"/>
  <c r="K148" i="1"/>
  <c r="H151" i="1"/>
  <c r="K151" i="1"/>
  <c r="H149" i="1"/>
  <c r="K149" i="1"/>
  <c r="I151" i="1" l="1"/>
  <c r="J151" i="1"/>
  <c r="I149" i="1"/>
  <c r="J149" i="1"/>
  <c r="J148" i="1"/>
  <c r="I148" i="1"/>
  <c r="J150" i="1"/>
  <c r="I150" i="1"/>
  <c r="P150" i="1" l="1"/>
  <c r="O150" i="1"/>
  <c r="Q150" i="1"/>
  <c r="I152" i="1"/>
  <c r="O148" i="1"/>
  <c r="Q148" i="1"/>
  <c r="P148" i="1"/>
  <c r="P149" i="1"/>
  <c r="O149" i="1"/>
  <c r="Q149" i="1"/>
  <c r="Q151" i="1"/>
  <c r="P151" i="1"/>
  <c r="O151" i="1"/>
  <c r="P152" i="1" l="1"/>
  <c r="B157" i="1" s="1"/>
  <c r="Q152" i="1"/>
  <c r="C157" i="1" s="1"/>
  <c r="O152" i="1"/>
  <c r="A157" i="1" s="1"/>
  <c r="G159" i="1" l="1"/>
  <c r="G157" i="1"/>
  <c r="G158" i="1"/>
  <c r="G160" i="1"/>
  <c r="K160" i="1" l="1"/>
  <c r="H160" i="1"/>
  <c r="H158" i="1"/>
  <c r="K158" i="1"/>
  <c r="H157" i="1"/>
  <c r="K157" i="1"/>
  <c r="K159" i="1"/>
  <c r="H159" i="1"/>
  <c r="J157" i="1" l="1"/>
  <c r="I157" i="1"/>
  <c r="J159" i="1"/>
  <c r="I159" i="1"/>
  <c r="J158" i="1"/>
  <c r="I158" i="1"/>
  <c r="J160" i="1"/>
  <c r="I160" i="1"/>
  <c r="I161" i="1" l="1"/>
  <c r="Q160" i="1"/>
  <c r="P160" i="1"/>
  <c r="O160" i="1"/>
  <c r="Q158" i="1"/>
  <c r="P158" i="1"/>
  <c r="O158" i="1"/>
  <c r="Q159" i="1"/>
  <c r="P159" i="1"/>
  <c r="O159" i="1"/>
  <c r="Q157" i="1"/>
  <c r="O157" i="1"/>
  <c r="P157" i="1"/>
  <c r="P161" i="1" l="1"/>
  <c r="B166" i="1" s="1"/>
  <c r="O161" i="1"/>
  <c r="A166" i="1" s="1"/>
  <c r="Q161" i="1"/>
  <c r="C166" i="1" s="1"/>
  <c r="G167" i="1" l="1"/>
  <c r="H167" i="1" s="1"/>
  <c r="G168" i="1"/>
  <c r="K168" i="1" s="1"/>
  <c r="G166" i="1"/>
  <c r="K166" i="1" s="1"/>
  <c r="G169" i="1"/>
  <c r="K169" i="1" s="1"/>
  <c r="H169" i="1"/>
  <c r="H166" i="1" l="1"/>
  <c r="I166" i="1" s="1"/>
  <c r="K167" i="1"/>
  <c r="H168" i="1"/>
  <c r="I168" i="1" s="1"/>
  <c r="J167" i="1"/>
  <c r="I167" i="1"/>
  <c r="I169" i="1"/>
  <c r="J169" i="1"/>
  <c r="J166" i="1" l="1"/>
  <c r="P166" i="1" s="1"/>
  <c r="J168" i="1"/>
  <c r="P168" i="1" s="1"/>
  <c r="I170" i="1"/>
  <c r="Q169" i="1"/>
  <c r="P169" i="1"/>
  <c r="O169" i="1"/>
  <c r="Q167" i="1"/>
  <c r="P167" i="1"/>
  <c r="O167" i="1"/>
  <c r="Q166" i="1" l="1"/>
  <c r="O166" i="1"/>
  <c r="O168" i="1"/>
  <c r="O170" i="1" s="1"/>
  <c r="A175" i="1" s="1"/>
  <c r="Q168" i="1"/>
  <c r="P170" i="1"/>
  <c r="B175" i="1" s="1"/>
  <c r="Q170" i="1" l="1"/>
  <c r="C175" i="1" s="1"/>
  <c r="G176" i="1" s="1"/>
  <c r="G178" i="1" l="1"/>
  <c r="K178" i="1" s="1"/>
  <c r="G177" i="1"/>
  <c r="G175" i="1"/>
  <c r="K177" i="1"/>
  <c r="H177" i="1"/>
  <c r="K175" i="1"/>
  <c r="H175" i="1"/>
  <c r="H176" i="1"/>
  <c r="K176" i="1"/>
  <c r="H178" i="1" l="1"/>
  <c r="I178" i="1" s="1"/>
  <c r="J175" i="1"/>
  <c r="I175" i="1"/>
  <c r="I176" i="1"/>
  <c r="J176" i="1"/>
  <c r="I177" i="1"/>
  <c r="J177" i="1"/>
  <c r="J178" i="1" l="1"/>
  <c r="Q178" i="1" s="1"/>
  <c r="P177" i="1"/>
  <c r="O177" i="1"/>
  <c r="Q177" i="1"/>
  <c r="P176" i="1"/>
  <c r="Q176" i="1"/>
  <c r="O176" i="1"/>
  <c r="I179" i="1"/>
  <c r="P175" i="1"/>
  <c r="Q175" i="1"/>
  <c r="O175" i="1"/>
  <c r="P178" i="1" l="1"/>
  <c r="P179" i="1" s="1"/>
  <c r="B184" i="1" s="1"/>
  <c r="O178" i="1"/>
  <c r="O179" i="1" s="1"/>
  <c r="A184" i="1" s="1"/>
  <c r="Q179" i="1"/>
  <c r="C184" i="1" s="1"/>
  <c r="G187" i="1" l="1"/>
  <c r="G185" i="1"/>
  <c r="H185" i="1" s="1"/>
  <c r="G186" i="1"/>
  <c r="H186" i="1" s="1"/>
  <c r="G184" i="1"/>
  <c r="K184" i="1" s="1"/>
  <c r="K187" i="1"/>
  <c r="H187" i="1"/>
  <c r="K185" i="1" l="1"/>
  <c r="K186" i="1"/>
  <c r="H184" i="1"/>
  <c r="J184" i="1" s="1"/>
  <c r="J185" i="1"/>
  <c r="I185" i="1"/>
  <c r="J186" i="1"/>
  <c r="I186" i="1"/>
  <c r="I187" i="1"/>
  <c r="J187" i="1"/>
  <c r="I184" i="1" l="1"/>
  <c r="I188" i="1" s="1"/>
  <c r="Q187" i="1"/>
  <c r="P187" i="1"/>
  <c r="O187" i="1"/>
  <c r="O186" i="1"/>
  <c r="Q186" i="1"/>
  <c r="P186" i="1"/>
  <c r="P184" i="1"/>
  <c r="O184" i="1"/>
  <c r="Q184" i="1"/>
  <c r="Q185" i="1"/>
  <c r="P185" i="1"/>
  <c r="O185" i="1"/>
  <c r="Q188" i="1" l="1"/>
  <c r="C193" i="1" s="1"/>
  <c r="O188" i="1"/>
  <c r="A193" i="1" s="1"/>
  <c r="P188" i="1"/>
  <c r="B193" i="1" s="1"/>
  <c r="G194" i="1" l="1"/>
  <c r="G196" i="1"/>
  <c r="G193" i="1"/>
  <c r="G195" i="1"/>
  <c r="K195" i="1" l="1"/>
  <c r="H195" i="1"/>
  <c r="H193" i="1"/>
  <c r="K193" i="1"/>
  <c r="K196" i="1"/>
  <c r="H196" i="1"/>
  <c r="H194" i="1"/>
  <c r="K194" i="1"/>
  <c r="J194" i="1" l="1"/>
  <c r="I194" i="1"/>
  <c r="I196" i="1"/>
  <c r="J196" i="1"/>
  <c r="I193" i="1"/>
  <c r="J193" i="1"/>
  <c r="I195" i="1"/>
  <c r="J195" i="1"/>
  <c r="Q195" i="1" l="1"/>
  <c r="O195" i="1"/>
  <c r="P195" i="1"/>
  <c r="Q193" i="1"/>
  <c r="P193" i="1"/>
  <c r="O193" i="1"/>
  <c r="I197" i="1"/>
  <c r="Q196" i="1"/>
  <c r="P196" i="1"/>
  <c r="O196" i="1"/>
  <c r="P194" i="1"/>
  <c r="Q194" i="1"/>
  <c r="O194" i="1"/>
  <c r="P197" i="1" l="1"/>
  <c r="B202" i="1" s="1"/>
  <c r="O197" i="1"/>
  <c r="A202" i="1" s="1"/>
  <c r="Q197" i="1"/>
  <c r="C202" i="1" s="1"/>
  <c r="G203" i="1" l="1"/>
  <c r="G202" i="1"/>
  <c r="G204" i="1"/>
  <c r="G205" i="1"/>
  <c r="K205" i="1" l="1"/>
  <c r="H205" i="1"/>
  <c r="K204" i="1"/>
  <c r="H204" i="1"/>
  <c r="H202" i="1"/>
  <c r="K202" i="1"/>
  <c r="H203" i="1"/>
  <c r="K203" i="1"/>
  <c r="I203" i="1" l="1"/>
  <c r="J203" i="1"/>
  <c r="J202" i="1"/>
  <c r="I202" i="1"/>
  <c r="J204" i="1"/>
  <c r="I204" i="1"/>
  <c r="I205" i="1"/>
  <c r="J205" i="1"/>
  <c r="P204" i="1" l="1"/>
  <c r="Q204" i="1"/>
  <c r="O204" i="1"/>
  <c r="Q205" i="1"/>
  <c r="P205" i="1"/>
  <c r="O205" i="1"/>
  <c r="I206" i="1"/>
  <c r="P202" i="1"/>
  <c r="Q202" i="1"/>
  <c r="O202" i="1"/>
  <c r="P203" i="1"/>
  <c r="Q203" i="1"/>
  <c r="O203" i="1"/>
  <c r="Q206" i="1" l="1"/>
  <c r="C211" i="1" s="1"/>
  <c r="O206" i="1"/>
  <c r="A211" i="1" s="1"/>
  <c r="P206" i="1"/>
  <c r="B211" i="1" s="1"/>
  <c r="G212" i="1" l="1"/>
  <c r="G214" i="1"/>
  <c r="G211" i="1"/>
  <c r="G213" i="1"/>
  <c r="H213" i="1" l="1"/>
  <c r="K213" i="1"/>
  <c r="K211" i="1"/>
  <c r="H211" i="1"/>
  <c r="K214" i="1"/>
  <c r="H214" i="1"/>
  <c r="K212" i="1"/>
  <c r="H212" i="1"/>
  <c r="J212" i="1" l="1"/>
  <c r="I212" i="1"/>
  <c r="J214" i="1"/>
  <c r="I214" i="1"/>
  <c r="J211" i="1"/>
  <c r="I211" i="1"/>
  <c r="J213" i="1"/>
  <c r="I213" i="1"/>
  <c r="P213" i="1" l="1"/>
  <c r="Q213" i="1"/>
  <c r="O213" i="1"/>
  <c r="I215" i="1"/>
  <c r="Q211" i="1"/>
  <c r="P211" i="1"/>
  <c r="O211" i="1"/>
  <c r="O214" i="1"/>
  <c r="Q214" i="1"/>
  <c r="P214" i="1"/>
  <c r="O212" i="1"/>
  <c r="Q212" i="1"/>
  <c r="P212" i="1"/>
  <c r="O215" i="1" l="1"/>
  <c r="A220" i="1" s="1"/>
  <c r="P215" i="1"/>
  <c r="B220" i="1" s="1"/>
  <c r="Q215" i="1"/>
  <c r="C220" i="1" s="1"/>
  <c r="G220" i="1" l="1"/>
  <c r="G221" i="1"/>
  <c r="G223" i="1"/>
  <c r="G222" i="1"/>
  <c r="H222" i="1" l="1"/>
  <c r="K222" i="1"/>
  <c r="H223" i="1"/>
  <c r="K223" i="1"/>
  <c r="H221" i="1"/>
  <c r="K221" i="1"/>
  <c r="H220" i="1"/>
  <c r="K220" i="1"/>
  <c r="I220" i="1" l="1"/>
  <c r="J220" i="1"/>
  <c r="I221" i="1"/>
  <c r="J221" i="1"/>
  <c r="J223" i="1"/>
  <c r="I223" i="1"/>
  <c r="I222" i="1"/>
  <c r="J222" i="1"/>
  <c r="O222" i="1" l="1"/>
  <c r="Q222" i="1"/>
  <c r="P222" i="1"/>
  <c r="Q223" i="1"/>
  <c r="P223" i="1"/>
  <c r="O223" i="1"/>
  <c r="O221" i="1"/>
  <c r="P221" i="1"/>
  <c r="Q221" i="1"/>
  <c r="Q220" i="1"/>
  <c r="P220" i="1"/>
  <c r="P224" i="1" s="1"/>
  <c r="B229" i="1" s="1"/>
  <c r="O220" i="1"/>
  <c r="I224" i="1"/>
  <c r="O224" i="1" l="1"/>
  <c r="A229" i="1" s="1"/>
  <c r="Q224" i="1"/>
  <c r="C229" i="1" s="1"/>
  <c r="G231" i="1" l="1"/>
  <c r="G232" i="1"/>
  <c r="H232" i="1" s="1"/>
  <c r="G229" i="1"/>
  <c r="G230" i="1"/>
  <c r="H229" i="1"/>
  <c r="K229" i="1"/>
  <c r="H230" i="1"/>
  <c r="K230" i="1"/>
  <c r="K231" i="1"/>
  <c r="H231" i="1"/>
  <c r="K232" i="1" l="1"/>
  <c r="I231" i="1"/>
  <c r="J231" i="1"/>
  <c r="J232" i="1"/>
  <c r="I232" i="1"/>
  <c r="J230" i="1"/>
  <c r="I230" i="1"/>
  <c r="I229" i="1"/>
  <c r="J229" i="1"/>
  <c r="I233" i="1" l="1"/>
  <c r="O229" i="1"/>
  <c r="Q229" i="1"/>
  <c r="P229" i="1"/>
  <c r="Q230" i="1"/>
  <c r="P230" i="1"/>
  <c r="O230" i="1"/>
  <c r="O232" i="1"/>
  <c r="Q232" i="1"/>
  <c r="P232" i="1"/>
  <c r="P231" i="1"/>
  <c r="O231" i="1"/>
  <c r="Q231" i="1"/>
  <c r="P233" i="1" l="1"/>
  <c r="B238" i="1" s="1"/>
  <c r="Q233" i="1"/>
  <c r="C238" i="1" s="1"/>
  <c r="O233" i="1"/>
  <c r="A238" i="1" s="1"/>
  <c r="G239" i="1" l="1"/>
  <c r="G238" i="1"/>
  <c r="G240" i="1"/>
  <c r="G241" i="1"/>
  <c r="H241" i="1" l="1"/>
  <c r="K241" i="1"/>
  <c r="K240" i="1"/>
  <c r="H240" i="1"/>
  <c r="K238" i="1"/>
  <c r="H238" i="1"/>
  <c r="K239" i="1"/>
  <c r="H239" i="1"/>
  <c r="I239" i="1" l="1"/>
  <c r="J239" i="1"/>
  <c r="J238" i="1"/>
  <c r="I238" i="1"/>
  <c r="J240" i="1"/>
  <c r="I240" i="1"/>
  <c r="J241" i="1"/>
  <c r="I241" i="1"/>
  <c r="P241" i="1" l="1"/>
  <c r="Q241" i="1"/>
  <c r="O241" i="1"/>
  <c r="O240" i="1"/>
  <c r="Q240" i="1"/>
  <c r="P240" i="1"/>
  <c r="I242" i="1"/>
  <c r="P238" i="1"/>
  <c r="O238" i="1"/>
  <c r="Q238" i="1"/>
  <c r="O239" i="1"/>
  <c r="P239" i="1"/>
  <c r="Q239" i="1"/>
  <c r="O242" i="1" l="1"/>
  <c r="A247" i="1" s="1"/>
  <c r="Q242" i="1"/>
  <c r="C247" i="1" s="1"/>
  <c r="P242" i="1"/>
  <c r="B247" i="1" s="1"/>
  <c r="G249" i="1" l="1"/>
  <c r="G247" i="1"/>
  <c r="G250" i="1"/>
  <c r="G248" i="1"/>
  <c r="H248" i="1" l="1"/>
  <c r="K248" i="1"/>
  <c r="H250" i="1"/>
  <c r="K250" i="1"/>
  <c r="H247" i="1"/>
  <c r="K247" i="1"/>
  <c r="K249" i="1"/>
  <c r="H249" i="1"/>
  <c r="I249" i="1" l="1"/>
  <c r="J249" i="1"/>
  <c r="J247" i="1"/>
  <c r="I247" i="1"/>
  <c r="J250" i="1"/>
  <c r="I250" i="1"/>
  <c r="J248" i="1"/>
  <c r="I248" i="1"/>
  <c r="P248" i="1" l="1"/>
  <c r="Q248" i="1"/>
  <c r="O248" i="1"/>
  <c r="P250" i="1"/>
  <c r="O250" i="1"/>
  <c r="Q250" i="1"/>
  <c r="I251" i="1"/>
  <c r="Q247" i="1"/>
  <c r="P247" i="1"/>
  <c r="O247" i="1"/>
  <c r="O249" i="1"/>
  <c r="P249" i="1"/>
  <c r="Q249" i="1"/>
  <c r="P251" i="1" l="1"/>
  <c r="B256" i="1" s="1"/>
  <c r="O251" i="1"/>
  <c r="A256" i="1" s="1"/>
  <c r="Q251" i="1"/>
  <c r="C256" i="1" s="1"/>
  <c r="G257" i="1" l="1"/>
  <c r="G259" i="1"/>
  <c r="G256" i="1"/>
  <c r="G258" i="1"/>
  <c r="H258" i="1" l="1"/>
  <c r="K258" i="1"/>
  <c r="H256" i="1"/>
  <c r="K256" i="1"/>
  <c r="K259" i="1"/>
  <c r="H259" i="1"/>
  <c r="H257" i="1"/>
  <c r="K257" i="1"/>
  <c r="J259" i="1" l="1"/>
  <c r="I259" i="1"/>
  <c r="J257" i="1"/>
  <c r="I257" i="1"/>
  <c r="I256" i="1"/>
  <c r="J256" i="1"/>
  <c r="I258" i="1"/>
  <c r="J258" i="1"/>
  <c r="P258" i="1" l="1"/>
  <c r="Q258" i="1"/>
  <c r="O258" i="1"/>
  <c r="O256" i="1"/>
  <c r="Q256" i="1"/>
  <c r="P256" i="1"/>
  <c r="I260" i="1"/>
  <c r="P257" i="1"/>
  <c r="O257" i="1"/>
  <c r="Q257" i="1"/>
  <c r="P259" i="1"/>
  <c r="Q259" i="1"/>
  <c r="O259" i="1"/>
  <c r="P260" i="1" l="1"/>
  <c r="B265" i="1" s="1"/>
  <c r="Q260" i="1"/>
  <c r="C265" i="1" s="1"/>
  <c r="O260" i="1"/>
  <c r="A265" i="1" s="1"/>
  <c r="G266" i="1" l="1"/>
  <c r="G265" i="1"/>
  <c r="G267" i="1"/>
  <c r="G268" i="1"/>
  <c r="H268" i="1" l="1"/>
  <c r="K268" i="1"/>
  <c r="K267" i="1"/>
  <c r="H267" i="1"/>
  <c r="K265" i="1"/>
  <c r="H265" i="1"/>
  <c r="H266" i="1"/>
  <c r="K266" i="1"/>
  <c r="I265" i="1" l="1"/>
  <c r="J265" i="1"/>
  <c r="J266" i="1"/>
  <c r="I266" i="1"/>
  <c r="J267" i="1"/>
  <c r="I267" i="1"/>
  <c r="J268" i="1"/>
  <c r="I268" i="1"/>
  <c r="Q268" i="1" l="1"/>
  <c r="P268" i="1"/>
  <c r="O268" i="1"/>
  <c r="O267" i="1"/>
  <c r="Q267" i="1"/>
  <c r="P267" i="1"/>
  <c r="P266" i="1"/>
  <c r="O266" i="1"/>
  <c r="Q266" i="1"/>
  <c r="O265" i="1"/>
  <c r="Q265" i="1"/>
  <c r="P265" i="1"/>
  <c r="I269" i="1"/>
  <c r="P269" i="1" l="1"/>
  <c r="B274" i="1" s="1"/>
  <c r="Q269" i="1"/>
  <c r="C274" i="1" s="1"/>
  <c r="O269" i="1"/>
  <c r="A274" i="1" s="1"/>
  <c r="G276" i="1" s="1"/>
  <c r="G277" i="1" l="1"/>
  <c r="G275" i="1"/>
  <c r="G274" i="1"/>
  <c r="H276" i="1"/>
  <c r="K276" i="1"/>
  <c r="H277" i="1"/>
  <c r="K277" i="1"/>
  <c r="H275" i="1"/>
  <c r="K275" i="1"/>
  <c r="H274" i="1"/>
  <c r="K274" i="1"/>
  <c r="J275" i="1" l="1"/>
  <c r="I275" i="1"/>
  <c r="I274" i="1"/>
  <c r="J274" i="1"/>
  <c r="I277" i="1"/>
  <c r="J277" i="1"/>
  <c r="J276" i="1"/>
  <c r="I276" i="1"/>
  <c r="O276" i="1" l="1"/>
  <c r="P276" i="1"/>
  <c r="Q276" i="1"/>
  <c r="P277" i="1"/>
  <c r="Q277" i="1"/>
  <c r="O277" i="1"/>
  <c r="Q274" i="1"/>
  <c r="O274" i="1"/>
  <c r="P274" i="1"/>
  <c r="I278" i="1"/>
  <c r="P275" i="1"/>
  <c r="Q275" i="1"/>
  <c r="O275" i="1"/>
  <c r="P278" i="1" l="1"/>
  <c r="B283" i="1" s="1"/>
  <c r="O278" i="1"/>
  <c r="A283" i="1" s="1"/>
  <c r="Q278" i="1"/>
  <c r="C283" i="1" s="1"/>
  <c r="G285" i="1" l="1"/>
  <c r="G284" i="1"/>
  <c r="G286" i="1"/>
  <c r="G283" i="1"/>
  <c r="K283" i="1" l="1"/>
  <c r="H283" i="1"/>
  <c r="H286" i="1"/>
  <c r="K286" i="1"/>
  <c r="H284" i="1"/>
  <c r="K284" i="1"/>
  <c r="H285" i="1"/>
  <c r="K285" i="1"/>
  <c r="J285" i="1" l="1"/>
  <c r="I285" i="1"/>
  <c r="J284" i="1"/>
  <c r="I284" i="1"/>
  <c r="J286" i="1"/>
  <c r="I286" i="1"/>
  <c r="J283" i="1"/>
  <c r="I283" i="1"/>
  <c r="I287" i="1" l="1"/>
  <c r="Q283" i="1"/>
  <c r="O283" i="1"/>
  <c r="P283" i="1"/>
  <c r="Q286" i="1"/>
  <c r="P286" i="1"/>
  <c r="O286" i="1"/>
  <c r="Q284" i="1"/>
  <c r="P284" i="1"/>
  <c r="O284" i="1"/>
  <c r="O285" i="1"/>
  <c r="Q285" i="1"/>
  <c r="P285" i="1"/>
  <c r="P287" i="1" l="1"/>
  <c r="O287" i="1"/>
  <c r="Q287" i="1"/>
</calcChain>
</file>

<file path=xl/sharedStrings.xml><?xml version="1.0" encoding="utf-8"?>
<sst xmlns="http://schemas.openxmlformats.org/spreadsheetml/2006/main" count="1230" uniqueCount="28">
  <si>
    <t>Desired Function to Learn</t>
  </si>
  <si>
    <t>AND Gate</t>
  </si>
  <si>
    <t>Input 1</t>
  </si>
  <si>
    <t>Input 2</t>
  </si>
  <si>
    <t>Output 3</t>
  </si>
  <si>
    <t>Learning rate (k)</t>
  </si>
  <si>
    <t>sigmoid' = EXP([cell])/POW(1 + EXP([cell]), 2)</t>
  </si>
  <si>
    <t>Bias</t>
  </si>
  <si>
    <t>Weights</t>
  </si>
  <si>
    <t>Inputs</t>
  </si>
  <si>
    <t>Output</t>
  </si>
  <si>
    <t>Cost</t>
  </si>
  <si>
    <t>𝛿z_3/</t>
  </si>
  <si>
    <t>𝛿C/</t>
  </si>
  <si>
    <t>b</t>
  </si>
  <si>
    <t>w_1</t>
  </si>
  <si>
    <t>w_2</t>
  </si>
  <si>
    <t>x_1</t>
  </si>
  <si>
    <t>x_2</t>
  </si>
  <si>
    <t>z_3</t>
  </si>
  <si>
    <t>a_3</t>
  </si>
  <si>
    <t>C</t>
  </si>
  <si>
    <t>𝛿C/𝛿a_3</t>
  </si>
  <si>
    <t>𝛿a_3/𝛿z_3</t>
  </si>
  <si>
    <t>𝛿b</t>
  </si>
  <si>
    <t>𝛿w_1</t>
  </si>
  <si>
    <t>𝛿w_2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</si>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</sst>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777241</xdr:colOff>
      <xdr:row>0</xdr:row>
      <xdr:rowOff>114300</xdr:rowOff>
    </xdr:from>
    <xdr:to>
      <xdr:col>10</xdr:col>
      <xdr:colOff>759494</xdr:colOff>
      <xdr:row>8</xdr:row>
      <xdr:rowOff>117675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D86E5-4FEE-40EF-A4DE-D8EA1326B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521" y="114300"/>
          <a:ext cx="2529839" cy="152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750B-401D-4C70-BD45-616BB2334CE6}">
  <dimension ref="A1:T467"/>
  <sheetViews>
    <sheetView tabSelected="1" topLeftCell="A442" zoomScale="73" workbookViewId="0">
      <selection activeCell="I470" sqref="I470"/>
    </sheetView>
  </sheetViews>
  <sheetFormatPr defaultRowHeight="14.4" x14ac:dyDescent="0.3"/>
  <cols>
    <col min="1" max="2" width="12.77734375" bestFit="1" customWidth="1"/>
    <col min="3" max="3" width="12.109375" bestFit="1" customWidth="1"/>
    <col min="5" max="6" width="9" bestFit="1" customWidth="1"/>
    <col min="7" max="7" width="12.77734375" bestFit="1" customWidth="1"/>
    <col min="8" max="9" width="12.109375" bestFit="1" customWidth="1"/>
    <col min="10" max="10" width="12.77734375" bestFit="1" customWidth="1"/>
    <col min="11" max="11" width="12.109375" bestFit="1" customWidth="1"/>
    <col min="12" max="14" width="9" bestFit="1" customWidth="1"/>
    <col min="15" max="17" width="12.77734375" bestFit="1" customWidth="1"/>
  </cols>
  <sheetData>
    <row r="1" spans="1:20" ht="15" thickBot="1" x14ac:dyDescent="0.35">
      <c r="A1" s="15" t="s">
        <v>0</v>
      </c>
      <c r="B1" s="16"/>
      <c r="C1" s="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thickBot="1" x14ac:dyDescent="0.35">
      <c r="A2" s="15" t="s">
        <v>1</v>
      </c>
      <c r="B2" s="16"/>
      <c r="C2" s="1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thickBot="1" x14ac:dyDescent="0.35">
      <c r="A3" s="2" t="s">
        <v>2</v>
      </c>
      <c r="B3" s="2" t="s">
        <v>3</v>
      </c>
      <c r="C3" s="2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thickBot="1" x14ac:dyDescent="0.35">
      <c r="A4" s="3">
        <v>0</v>
      </c>
      <c r="B4" s="3">
        <v>0</v>
      </c>
      <c r="C4" s="3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thickBot="1" x14ac:dyDescent="0.35">
      <c r="A5" s="3">
        <v>0</v>
      </c>
      <c r="B5" s="3">
        <v>1</v>
      </c>
      <c r="C5" s="3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thickBot="1" x14ac:dyDescent="0.35">
      <c r="A6" s="3">
        <v>1</v>
      </c>
      <c r="B6" s="3">
        <v>0</v>
      </c>
      <c r="C6" s="3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" thickBot="1" x14ac:dyDescent="0.35">
      <c r="A7" s="3">
        <v>1</v>
      </c>
      <c r="B7" s="3">
        <v>1</v>
      </c>
      <c r="C7" s="3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" thickBot="1" x14ac:dyDescent="0.35">
      <c r="A8" s="4"/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thickBot="1" x14ac:dyDescent="0.35">
      <c r="A9" s="18" t="s">
        <v>5</v>
      </c>
      <c r="B9" s="19"/>
      <c r="C9" s="5">
        <v>10</v>
      </c>
      <c r="D9" s="6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" thickBot="1" x14ac:dyDescent="0.35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20"/>
      <c r="S10" s="21"/>
      <c r="T10" s="22"/>
    </row>
    <row r="11" spans="1:20" ht="15" thickBot="1" x14ac:dyDescent="0.35">
      <c r="A11" s="8" t="s">
        <v>7</v>
      </c>
      <c r="B11" s="20" t="s">
        <v>8</v>
      </c>
      <c r="C11" s="22"/>
      <c r="D11" s="1"/>
      <c r="E11" s="20" t="s">
        <v>9</v>
      </c>
      <c r="F11" s="22"/>
      <c r="G11" s="7"/>
      <c r="H11" s="8" t="s">
        <v>10</v>
      </c>
      <c r="I11" s="9" t="s">
        <v>11</v>
      </c>
      <c r="J11" s="1"/>
      <c r="K11" s="10"/>
      <c r="L11" s="23" t="s">
        <v>12</v>
      </c>
      <c r="M11" s="16"/>
      <c r="N11" s="24"/>
      <c r="O11" s="25" t="s">
        <v>13</v>
      </c>
      <c r="P11" s="26"/>
      <c r="Q11" s="27"/>
      <c r="R11" s="20"/>
      <c r="S11" s="21"/>
      <c r="T11" s="22"/>
    </row>
    <row r="12" spans="1:20" ht="15" thickBot="1" x14ac:dyDescent="0.35">
      <c r="A12" s="11" t="s">
        <v>14</v>
      </c>
      <c r="B12" s="11" t="s">
        <v>15</v>
      </c>
      <c r="C12" s="11" t="s">
        <v>16</v>
      </c>
      <c r="D12" s="4"/>
      <c r="E12" s="11" t="s">
        <v>17</v>
      </c>
      <c r="F12" s="11" t="s">
        <v>18</v>
      </c>
      <c r="G12" s="11" t="s">
        <v>19</v>
      </c>
      <c r="H12" s="11" t="s">
        <v>20</v>
      </c>
      <c r="I12" s="12" t="s">
        <v>21</v>
      </c>
      <c r="J12" s="13" t="s">
        <v>22</v>
      </c>
      <c r="K12" s="14" t="s">
        <v>23</v>
      </c>
      <c r="L12" s="13" t="s">
        <v>24</v>
      </c>
      <c r="M12" s="13" t="s">
        <v>25</v>
      </c>
      <c r="N12" s="14" t="s">
        <v>26</v>
      </c>
      <c r="O12" s="13" t="s">
        <v>24</v>
      </c>
      <c r="P12" s="13" t="s">
        <v>25</v>
      </c>
      <c r="Q12" s="13" t="s">
        <v>26</v>
      </c>
      <c r="R12" s="20"/>
      <c r="S12" s="21"/>
      <c r="T12" s="22"/>
    </row>
    <row r="13" spans="1:20" ht="15" thickBot="1" x14ac:dyDescent="0.35">
      <c r="A13" s="1">
        <v>1</v>
      </c>
      <c r="B13" s="1">
        <v>-2</v>
      </c>
      <c r="C13" s="1">
        <v>3</v>
      </c>
      <c r="D13" s="1"/>
      <c r="E13" s="3">
        <v>0</v>
      </c>
      <c r="F13" s="3">
        <v>0</v>
      </c>
      <c r="G13" s="1">
        <f>A13+(B13*E13)+(C13*F13)</f>
        <v>1</v>
      </c>
      <c r="H13" s="1">
        <f>1/(1+EXP(-G13))</f>
        <v>0.7310585786300049</v>
      </c>
      <c r="I13" s="10">
        <f>($C$4-H13)^2</f>
        <v>0.53444664538852305</v>
      </c>
      <c r="J13" s="1">
        <f>2*(H13-$C$4)</f>
        <v>1.4621171572600098</v>
      </c>
      <c r="K13" s="10">
        <f xml:space="preserve"> EXP(-G13)/POWER(1+EXP(-G13),2)</f>
        <v>0.19661193324148188</v>
      </c>
      <c r="L13" s="1">
        <v>1</v>
      </c>
      <c r="M13" s="1">
        <f>E13</f>
        <v>0</v>
      </c>
      <c r="N13" s="10">
        <f>F13</f>
        <v>0</v>
      </c>
      <c r="O13" s="1">
        <f>J13*K13*L13</f>
        <v>0.28746968091443031</v>
      </c>
      <c r="P13" s="1">
        <f>J13*K13*M13</f>
        <v>0</v>
      </c>
      <c r="Q13" s="1">
        <f>J13*K13*N13</f>
        <v>0</v>
      </c>
      <c r="R13" s="20"/>
      <c r="S13" s="21"/>
      <c r="T13" s="22"/>
    </row>
    <row r="14" spans="1:20" ht="15" thickBot="1" x14ac:dyDescent="0.35">
      <c r="A14" s="1"/>
      <c r="B14" s="1"/>
      <c r="C14" s="1"/>
      <c r="D14" s="1"/>
      <c r="E14" s="3">
        <v>0</v>
      </c>
      <c r="F14" s="3">
        <v>1</v>
      </c>
      <c r="G14" s="1">
        <f>A13+(B13*E14)+(C13*F14)</f>
        <v>4</v>
      </c>
      <c r="H14" s="1">
        <f t="shared" ref="H14:H15" si="0">1/(1+EXP(-G14))</f>
        <v>0.98201379003790845</v>
      </c>
      <c r="I14" s="10">
        <f>($C$5-H14)^2</f>
        <v>0.96435108382461732</v>
      </c>
      <c r="J14" s="1">
        <f>2*(H14-$C$5)</f>
        <v>1.9640275800758169</v>
      </c>
      <c r="K14" s="10">
        <f t="shared" ref="K14:K16" si="1" xml:space="preserve"> EXP(-G14)/POWER(1+EXP(-G14),2)</f>
        <v>1.7662706213291114E-2</v>
      </c>
      <c r="L14" s="1">
        <v>1</v>
      </c>
      <c r="M14" s="1">
        <f t="shared" ref="M14:M16" si="2">E14</f>
        <v>0</v>
      </c>
      <c r="N14" s="10">
        <f t="shared" ref="N14:N16" si="3">F14</f>
        <v>1</v>
      </c>
      <c r="O14" s="1">
        <f t="shared" ref="O14:O16" si="4">J14*K14*L14</f>
        <v>3.4690042141680241E-2</v>
      </c>
      <c r="P14" s="1">
        <f t="shared" ref="P14:P16" si="5">J14*K14*M14</f>
        <v>0</v>
      </c>
      <c r="Q14" s="1">
        <f t="shared" ref="Q14:Q16" si="6">J14*K14*N14</f>
        <v>3.4690042141680241E-2</v>
      </c>
      <c r="R14" s="20"/>
      <c r="S14" s="21"/>
      <c r="T14" s="22"/>
    </row>
    <row r="15" spans="1:20" ht="15" thickBot="1" x14ac:dyDescent="0.35">
      <c r="A15" s="1"/>
      <c r="B15" s="1"/>
      <c r="C15" s="1"/>
      <c r="D15" s="1"/>
      <c r="E15" s="3">
        <v>1</v>
      </c>
      <c r="F15" s="3">
        <v>0</v>
      </c>
      <c r="G15" s="1">
        <f>A13+(B13*E15)+(C13*F15)</f>
        <v>-1</v>
      </c>
      <c r="H15" s="1">
        <f t="shared" si="0"/>
        <v>0.2689414213699951</v>
      </c>
      <c r="I15" s="10">
        <f>($C$6-H15)^2</f>
        <v>7.2329488128513253E-2</v>
      </c>
      <c r="J15" s="1">
        <f>2*(H15-$C$6)</f>
        <v>0.53788284273999021</v>
      </c>
      <c r="K15" s="10">
        <f t="shared" si="1"/>
        <v>0.19661193324148185</v>
      </c>
      <c r="L15" s="1">
        <v>1</v>
      </c>
      <c r="M15" s="1">
        <f t="shared" si="2"/>
        <v>1</v>
      </c>
      <c r="N15" s="10">
        <f t="shared" si="3"/>
        <v>0</v>
      </c>
      <c r="O15" s="1">
        <f t="shared" si="4"/>
        <v>0.10575418556853343</v>
      </c>
      <c r="P15" s="1">
        <f t="shared" si="5"/>
        <v>0.10575418556853343</v>
      </c>
      <c r="Q15" s="1">
        <f t="shared" si="6"/>
        <v>0</v>
      </c>
      <c r="R15" s="20"/>
      <c r="S15" s="21"/>
      <c r="T15" s="22"/>
    </row>
    <row r="16" spans="1:20" ht="15" thickBot="1" x14ac:dyDescent="0.35">
      <c r="A16" s="1"/>
      <c r="B16" s="1"/>
      <c r="C16" s="1"/>
      <c r="D16" s="1"/>
      <c r="E16" s="3">
        <v>1</v>
      </c>
      <c r="F16" s="3">
        <v>1</v>
      </c>
      <c r="G16" s="1">
        <f>A13+(B13*E16)+(C13*F16)</f>
        <v>2</v>
      </c>
      <c r="H16" s="1">
        <f>1/(1+EXP(-G16))</f>
        <v>0.88079707797788231</v>
      </c>
      <c r="I16" s="10">
        <f>($C$7-H16)^2</f>
        <v>1.420933661861107E-2</v>
      </c>
      <c r="J16" s="1">
        <f>2*(H16-$C$7)</f>
        <v>-0.23840584404423537</v>
      </c>
      <c r="K16" s="10">
        <f t="shared" si="1"/>
        <v>0.10499358540350651</v>
      </c>
      <c r="L16" s="1">
        <v>1</v>
      </c>
      <c r="M16" s="1">
        <f t="shared" si="2"/>
        <v>1</v>
      </c>
      <c r="N16" s="10">
        <f t="shared" si="3"/>
        <v>1</v>
      </c>
      <c r="O16" s="1">
        <f t="shared" si="4"/>
        <v>-2.5031084347353478E-2</v>
      </c>
      <c r="P16" s="1">
        <f t="shared" si="5"/>
        <v>-2.5031084347353478E-2</v>
      </c>
      <c r="Q16" s="1">
        <f t="shared" si="6"/>
        <v>-2.5031084347353478E-2</v>
      </c>
      <c r="R16" s="20"/>
      <c r="S16" s="21"/>
      <c r="T16" s="22"/>
    </row>
    <row r="17" spans="1:20" ht="15" thickBot="1" x14ac:dyDescent="0.35">
      <c r="A17" s="1"/>
      <c r="B17" s="1"/>
      <c r="C17" s="1"/>
      <c r="D17" s="1"/>
      <c r="E17" s="1"/>
      <c r="F17" s="1"/>
      <c r="G17" s="1"/>
      <c r="H17" s="1"/>
      <c r="I17" s="10">
        <f>SUM(I13:I16)</f>
        <v>1.5853365539602646</v>
      </c>
      <c r="J17" s="1"/>
      <c r="K17" s="1"/>
      <c r="L17" s="1"/>
      <c r="M17" s="1"/>
      <c r="N17" s="1"/>
      <c r="O17" s="1">
        <f>AVERAGE(O13:O16)</f>
        <v>0.10072070606932264</v>
      </c>
      <c r="P17" s="1">
        <f t="shared" ref="P17:Q17" si="7">AVERAGE(P13:P16)</f>
        <v>2.0180775305294989E-2</v>
      </c>
      <c r="Q17" s="1">
        <f t="shared" si="7"/>
        <v>2.4147394485816908E-3</v>
      </c>
      <c r="R17" s="20"/>
      <c r="S17" s="21"/>
      <c r="T17" s="22"/>
    </row>
    <row r="18" spans="1:20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0"/>
      <c r="S18" s="21"/>
      <c r="T18" s="22"/>
    </row>
    <row r="19" spans="1:20" ht="15" thickBot="1" x14ac:dyDescent="0.35">
      <c r="A19" s="1" t="s">
        <v>27</v>
      </c>
      <c r="B19" s="3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0"/>
      <c r="S19" s="21"/>
      <c r="T19" s="22"/>
    </row>
    <row r="20" spans="1:20" ht="15" thickBot="1" x14ac:dyDescent="0.35">
      <c r="A20" s="8" t="s">
        <v>7</v>
      </c>
      <c r="B20" s="20" t="s">
        <v>8</v>
      </c>
      <c r="C20" s="22"/>
      <c r="D20" s="1"/>
      <c r="E20" s="20" t="s">
        <v>9</v>
      </c>
      <c r="F20" s="22"/>
      <c r="G20" s="7"/>
      <c r="H20" s="8" t="s">
        <v>10</v>
      </c>
      <c r="I20" s="9" t="s">
        <v>11</v>
      </c>
      <c r="J20" s="1"/>
      <c r="K20" s="10"/>
      <c r="L20" s="23" t="s">
        <v>12</v>
      </c>
      <c r="M20" s="16"/>
      <c r="N20" s="24"/>
      <c r="O20" s="25" t="s">
        <v>13</v>
      </c>
      <c r="P20" s="26"/>
      <c r="Q20" s="27"/>
      <c r="R20" s="20"/>
      <c r="S20" s="21"/>
      <c r="T20" s="22"/>
    </row>
    <row r="21" spans="1:20" ht="15" thickBot="1" x14ac:dyDescent="0.35">
      <c r="A21" s="11" t="s">
        <v>14</v>
      </c>
      <c r="B21" s="11" t="s">
        <v>15</v>
      </c>
      <c r="C21" s="11" t="s">
        <v>16</v>
      </c>
      <c r="D21" s="4"/>
      <c r="E21" s="11" t="s">
        <v>17</v>
      </c>
      <c r="F21" s="11" t="s">
        <v>18</v>
      </c>
      <c r="G21" s="11" t="s">
        <v>19</v>
      </c>
      <c r="H21" s="11" t="s">
        <v>20</v>
      </c>
      <c r="I21" s="12" t="s">
        <v>21</v>
      </c>
      <c r="J21" s="13" t="s">
        <v>22</v>
      </c>
      <c r="K21" s="14" t="s">
        <v>23</v>
      </c>
      <c r="L21" s="13" t="s">
        <v>24</v>
      </c>
      <c r="M21" s="13" t="s">
        <v>25</v>
      </c>
      <c r="N21" s="14" t="s">
        <v>26</v>
      </c>
      <c r="O21" s="13" t="s">
        <v>24</v>
      </c>
      <c r="P21" s="13" t="s">
        <v>25</v>
      </c>
      <c r="Q21" s="13" t="s">
        <v>26</v>
      </c>
      <c r="R21" s="20"/>
      <c r="S21" s="21"/>
      <c r="T21" s="22"/>
    </row>
    <row r="22" spans="1:20" ht="15" thickBot="1" x14ac:dyDescent="0.35">
      <c r="A22" s="1">
        <f>A13-$C$9*O17</f>
        <v>-7.2070606932264081E-3</v>
      </c>
      <c r="B22" s="1">
        <f>B13-$C$9*P17</f>
        <v>-2.2018077530529498</v>
      </c>
      <c r="C22" s="1">
        <f>C13-$C$9*Q17</f>
        <v>2.975852605514183</v>
      </c>
      <c r="D22" s="1"/>
      <c r="E22" s="3">
        <v>0</v>
      </c>
      <c r="F22" s="3">
        <v>0</v>
      </c>
      <c r="G22" s="1">
        <f>A22+(B22*E22)+(C22*F22)</f>
        <v>-7.2070606932264081E-3</v>
      </c>
      <c r="H22" s="1">
        <f>1/(1+EXP(-G22))</f>
        <v>0.4981982426255519</v>
      </c>
      <c r="I22" s="10">
        <f>($C$4-H22)^2</f>
        <v>0.24820148895518829</v>
      </c>
      <c r="J22" s="1">
        <f>2*(H22-$C$4)</f>
        <v>0.9963964852511038</v>
      </c>
      <c r="K22" s="10">
        <f xml:space="preserve"> EXP(-G22)/POWER(1+EXP(-G22),2)</f>
        <v>0.24999675367036359</v>
      </c>
      <c r="L22" s="1">
        <v>1</v>
      </c>
      <c r="M22" s="1">
        <f>E22</f>
        <v>0</v>
      </c>
      <c r="N22" s="10">
        <f>F22</f>
        <v>0</v>
      </c>
      <c r="O22" s="1">
        <f>J22*K22*L22</f>
        <v>0.24909588668133625</v>
      </c>
      <c r="P22" s="1">
        <f>J22*K22*M22</f>
        <v>0</v>
      </c>
      <c r="Q22" s="1">
        <f>J22*K22*N22</f>
        <v>0</v>
      </c>
      <c r="R22" s="20"/>
      <c r="S22" s="21"/>
      <c r="T22" s="22"/>
    </row>
    <row r="23" spans="1:20" ht="15" thickBot="1" x14ac:dyDescent="0.35">
      <c r="A23" s="1"/>
      <c r="B23" s="1"/>
      <c r="C23" s="1"/>
      <c r="D23" s="1"/>
      <c r="E23" s="3">
        <v>0</v>
      </c>
      <c r="F23" s="3">
        <v>1</v>
      </c>
      <c r="G23" s="1">
        <f>A22+(B22*E23)+(C22*F23)</f>
        <v>2.9686455448209568</v>
      </c>
      <c r="H23" s="1">
        <f t="shared" ref="H23:H24" si="8">1/(1+EXP(-G23))</f>
        <v>0.95113736704419294</v>
      </c>
      <c r="I23" s="10">
        <f>($C$5-H23)^2</f>
        <v>0.90466229098775985</v>
      </c>
      <c r="J23" s="1">
        <f>2*(H23-$C$5)</f>
        <v>1.9022747340883859</v>
      </c>
      <c r="K23" s="10">
        <f t="shared" ref="K23:K25" si="9" xml:space="preserve"> EXP(-G23)/POWER(1+EXP(-G23),2)</f>
        <v>4.6475076056433244E-2</v>
      </c>
      <c r="L23" s="1">
        <v>1</v>
      </c>
      <c r="M23" s="1">
        <f t="shared" ref="M23:M25" si="10">E23</f>
        <v>0</v>
      </c>
      <c r="N23" s="10">
        <f t="shared" ref="N23:N25" si="11">F23</f>
        <v>1</v>
      </c>
      <c r="O23" s="1">
        <f t="shared" ref="O23:O25" si="12">J23*K23*L23</f>
        <v>8.8408362946989061E-2</v>
      </c>
      <c r="P23" s="1">
        <f t="shared" ref="P23:P25" si="13">J23*K23*M23</f>
        <v>0</v>
      </c>
      <c r="Q23" s="1">
        <f t="shared" ref="Q23:Q25" si="14">J23*K23*N23</f>
        <v>8.8408362946989061E-2</v>
      </c>
      <c r="R23" s="20"/>
      <c r="S23" s="21"/>
      <c r="T23" s="22"/>
    </row>
    <row r="24" spans="1:20" ht="15" thickBot="1" x14ac:dyDescent="0.35">
      <c r="A24" s="1"/>
      <c r="B24" s="1"/>
      <c r="C24" s="1"/>
      <c r="D24" s="1"/>
      <c r="E24" s="3">
        <v>1</v>
      </c>
      <c r="F24" s="3">
        <v>0</v>
      </c>
      <c r="G24" s="1">
        <f>A22+(B22*E24)+(C22*F24)</f>
        <v>-2.209014813746176</v>
      </c>
      <c r="H24" s="1">
        <f t="shared" si="8"/>
        <v>9.8943871758073121E-2</v>
      </c>
      <c r="I24" s="10">
        <f>($C$6-H24)^2</f>
        <v>9.7898897584780195E-3</v>
      </c>
      <c r="J24" s="1">
        <f>2*(H24-$C$6)</f>
        <v>0.19788774351614624</v>
      </c>
      <c r="K24" s="10">
        <f t="shared" si="9"/>
        <v>8.9153981999595094E-2</v>
      </c>
      <c r="L24" s="1">
        <v>1</v>
      </c>
      <c r="M24" s="1">
        <f t="shared" si="10"/>
        <v>1</v>
      </c>
      <c r="N24" s="10">
        <f t="shared" si="11"/>
        <v>0</v>
      </c>
      <c r="O24" s="1">
        <f t="shared" si="12"/>
        <v>1.7642480323378992E-2</v>
      </c>
      <c r="P24" s="1">
        <f t="shared" si="13"/>
        <v>1.7642480323378992E-2</v>
      </c>
      <c r="Q24" s="1">
        <f t="shared" si="14"/>
        <v>0</v>
      </c>
      <c r="R24" s="20"/>
      <c r="S24" s="21"/>
      <c r="T24" s="22"/>
    </row>
    <row r="25" spans="1:20" ht="15" thickBot="1" x14ac:dyDescent="0.35">
      <c r="A25" s="1"/>
      <c r="B25" s="1"/>
      <c r="C25" s="1"/>
      <c r="D25" s="1"/>
      <c r="E25" s="3">
        <v>1</v>
      </c>
      <c r="F25" s="3">
        <v>1</v>
      </c>
      <c r="G25" s="1">
        <f>A22+(B22*E25)+(C22*F25)</f>
        <v>0.76683779176800693</v>
      </c>
      <c r="H25" s="1">
        <f>1/(1+EXP(-G25))</f>
        <v>0.68283644795870568</v>
      </c>
      <c r="I25" s="10">
        <f>($C$7-H25)^2</f>
        <v>0.10059271874345081</v>
      </c>
      <c r="J25" s="1">
        <f>2*(H25-$C$7)</f>
        <v>-0.63432710408258863</v>
      </c>
      <c r="K25" s="10">
        <f t="shared" si="9"/>
        <v>0.21657083329784352</v>
      </c>
      <c r="L25" s="1">
        <v>1</v>
      </c>
      <c r="M25" s="1">
        <f t="shared" si="10"/>
        <v>1</v>
      </c>
      <c r="N25" s="10">
        <f t="shared" si="11"/>
        <v>1</v>
      </c>
      <c r="O25" s="1">
        <f t="shared" si="12"/>
        <v>-0.13737674951457413</v>
      </c>
      <c r="P25" s="1">
        <f t="shared" si="13"/>
        <v>-0.13737674951457413</v>
      </c>
      <c r="Q25" s="1">
        <f t="shared" si="14"/>
        <v>-0.13737674951457413</v>
      </c>
      <c r="R25" s="20"/>
      <c r="S25" s="21"/>
      <c r="T25" s="22"/>
    </row>
    <row r="26" spans="1:20" ht="15" thickBot="1" x14ac:dyDescent="0.35">
      <c r="A26" s="1"/>
      <c r="B26" s="1"/>
      <c r="C26" s="1"/>
      <c r="D26" s="1"/>
      <c r="E26" s="1"/>
      <c r="F26" s="1"/>
      <c r="G26" s="1"/>
      <c r="H26" s="1"/>
      <c r="I26" s="10">
        <f>SUM(I22:I25)</f>
        <v>1.263246388444877</v>
      </c>
      <c r="J26" s="1"/>
      <c r="K26" s="1"/>
      <c r="L26" s="1"/>
      <c r="M26" s="1"/>
      <c r="N26" s="1"/>
      <c r="O26" s="1">
        <f>AVERAGE(O22:O25)</f>
        <v>5.4442495109282549E-2</v>
      </c>
      <c r="P26" s="1">
        <f t="shared" ref="P26" si="15">AVERAGE(P22:P25)</f>
        <v>-2.9933567297798783E-2</v>
      </c>
      <c r="Q26" s="1">
        <f t="shared" ref="Q26" si="16">AVERAGE(Q22:Q25)</f>
        <v>-1.2242096641896266E-2</v>
      </c>
      <c r="R26" s="20"/>
      <c r="S26" s="21"/>
      <c r="T26" s="22"/>
    </row>
    <row r="27" spans="1:20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0"/>
      <c r="S27" s="21"/>
      <c r="T27" s="22"/>
    </row>
    <row r="28" spans="1:20" ht="15" thickBot="1" x14ac:dyDescent="0.35">
      <c r="A28" s="1" t="s">
        <v>27</v>
      </c>
      <c r="B28" s="3">
        <v>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0"/>
      <c r="S28" s="21"/>
      <c r="T28" s="22"/>
    </row>
    <row r="29" spans="1:20" ht="15" thickBot="1" x14ac:dyDescent="0.35">
      <c r="A29" s="8" t="s">
        <v>7</v>
      </c>
      <c r="B29" s="20" t="s">
        <v>8</v>
      </c>
      <c r="C29" s="22"/>
      <c r="D29" s="1"/>
      <c r="E29" s="20" t="s">
        <v>9</v>
      </c>
      <c r="F29" s="22"/>
      <c r="G29" s="7"/>
      <c r="H29" s="8" t="s">
        <v>10</v>
      </c>
      <c r="I29" s="9" t="s">
        <v>11</v>
      </c>
      <c r="J29" s="1"/>
      <c r="K29" s="10"/>
      <c r="L29" s="23" t="s">
        <v>12</v>
      </c>
      <c r="M29" s="16"/>
      <c r="N29" s="24"/>
      <c r="O29" s="25" t="s">
        <v>13</v>
      </c>
      <c r="P29" s="26"/>
      <c r="Q29" s="27"/>
      <c r="R29" s="20"/>
      <c r="S29" s="21"/>
      <c r="T29" s="22"/>
    </row>
    <row r="30" spans="1:20" ht="15" thickBot="1" x14ac:dyDescent="0.35">
      <c r="A30" s="11" t="s">
        <v>14</v>
      </c>
      <c r="B30" s="11" t="s">
        <v>15</v>
      </c>
      <c r="C30" s="11" t="s">
        <v>16</v>
      </c>
      <c r="D30" s="4"/>
      <c r="E30" s="11" t="s">
        <v>17</v>
      </c>
      <c r="F30" s="11" t="s">
        <v>18</v>
      </c>
      <c r="G30" s="11" t="s">
        <v>19</v>
      </c>
      <c r="H30" s="11" t="s">
        <v>20</v>
      </c>
      <c r="I30" s="12" t="s">
        <v>21</v>
      </c>
      <c r="J30" s="13" t="s">
        <v>22</v>
      </c>
      <c r="K30" s="14" t="s">
        <v>23</v>
      </c>
      <c r="L30" s="13" t="s">
        <v>24</v>
      </c>
      <c r="M30" s="13" t="s">
        <v>25</v>
      </c>
      <c r="N30" s="14" t="s">
        <v>26</v>
      </c>
      <c r="O30" s="13" t="s">
        <v>24</v>
      </c>
      <c r="P30" s="13" t="s">
        <v>25</v>
      </c>
      <c r="Q30" s="13" t="s">
        <v>26</v>
      </c>
      <c r="R30" s="20"/>
      <c r="S30" s="21"/>
      <c r="T30" s="22"/>
    </row>
    <row r="31" spans="1:20" ht="15" thickBot="1" x14ac:dyDescent="0.35">
      <c r="A31" s="1">
        <f>A22-$C$9*O26</f>
        <v>-0.55163201178605192</v>
      </c>
      <c r="B31" s="1">
        <f>B22-$C$9*P26</f>
        <v>-1.9024720800749619</v>
      </c>
      <c r="C31" s="1">
        <f>C22-$C$9*Q26</f>
        <v>3.0982735719331456</v>
      </c>
      <c r="D31" s="1"/>
      <c r="E31" s="3">
        <v>0</v>
      </c>
      <c r="F31" s="3">
        <v>0</v>
      </c>
      <c r="G31" s="1">
        <f>A31+(B31*E31)+(C31*F31)</f>
        <v>-0.55163201178605192</v>
      </c>
      <c r="H31" s="1">
        <f>1/(1+EXP(-G31))</f>
        <v>0.36548585273510309</v>
      </c>
      <c r="I31" s="10">
        <f>($C$4-H31)^2</f>
        <v>0.13357990854950547</v>
      </c>
      <c r="J31" s="1">
        <f>2*(H31-$C$4)</f>
        <v>0.73097170547020618</v>
      </c>
      <c r="K31" s="10">
        <f xml:space="preserve"> EXP(-G31)/POWER(1+EXP(-G31),2)</f>
        <v>0.23190594418559768</v>
      </c>
      <c r="L31" s="1">
        <v>1</v>
      </c>
      <c r="M31" s="1">
        <f>E31</f>
        <v>0</v>
      </c>
      <c r="N31" s="10">
        <f>F31</f>
        <v>0</v>
      </c>
      <c r="O31" s="1">
        <f>J31*K31*L31</f>
        <v>0.16951668353002478</v>
      </c>
      <c r="P31" s="1">
        <f>J31*K31*M31</f>
        <v>0</v>
      </c>
      <c r="Q31" s="1">
        <f>J31*K31*N31</f>
        <v>0</v>
      </c>
      <c r="R31" s="20"/>
      <c r="S31" s="21"/>
      <c r="T31" s="22"/>
    </row>
    <row r="32" spans="1:20" ht="15" thickBot="1" x14ac:dyDescent="0.35">
      <c r="A32" s="1"/>
      <c r="B32" s="1"/>
      <c r="C32" s="1"/>
      <c r="D32" s="1"/>
      <c r="E32" s="3">
        <v>0</v>
      </c>
      <c r="F32" s="3">
        <v>1</v>
      </c>
      <c r="G32" s="1">
        <f>A31+(B31*E32)+(C31*F32)</f>
        <v>2.5466415601470938</v>
      </c>
      <c r="H32" s="1">
        <f t="shared" ref="H32:H33" si="17">1/(1+EXP(-G32))</f>
        <v>0.92734756741826396</v>
      </c>
      <c r="I32" s="10">
        <f>($C$5-H32)^2</f>
        <v>0.85997351079657158</v>
      </c>
      <c r="J32" s="1">
        <f>2*(H32-$C$5)</f>
        <v>1.8546951348365279</v>
      </c>
      <c r="K32" s="10">
        <f t="shared" ref="K32:K34" si="18" xml:space="preserve"> EXP(-G32)/POWER(1+EXP(-G32),2)</f>
        <v>6.7374056621692255E-2</v>
      </c>
      <c r="L32" s="1">
        <v>1</v>
      </c>
      <c r="M32" s="1">
        <f t="shared" ref="M32:M34" si="19">E32</f>
        <v>0</v>
      </c>
      <c r="N32" s="10">
        <f t="shared" ref="N32:N34" si="20">F32</f>
        <v>1</v>
      </c>
      <c r="O32" s="1">
        <f t="shared" ref="O32:O34" si="21">J32*K32*L32</f>
        <v>0.12495833503045338</v>
      </c>
      <c r="P32" s="1">
        <f t="shared" ref="P32:P34" si="22">J32*K32*M32</f>
        <v>0</v>
      </c>
      <c r="Q32" s="1">
        <f t="shared" ref="Q32:Q34" si="23">J32*K32*N32</f>
        <v>0.12495833503045338</v>
      </c>
      <c r="R32" s="20"/>
      <c r="S32" s="21"/>
      <c r="T32" s="22"/>
    </row>
    <row r="33" spans="1:20" ht="15" thickBot="1" x14ac:dyDescent="0.35">
      <c r="A33" s="1"/>
      <c r="B33" s="1"/>
      <c r="C33" s="1"/>
      <c r="D33" s="1"/>
      <c r="E33" s="3">
        <v>1</v>
      </c>
      <c r="F33" s="3">
        <v>0</v>
      </c>
      <c r="G33" s="1">
        <f>A31+(B31*E33)+(C31*F33)</f>
        <v>-2.454104091861014</v>
      </c>
      <c r="H33" s="1">
        <f t="shared" si="17"/>
        <v>7.9138942431767584E-2</v>
      </c>
      <c r="I33" s="10">
        <f>($C$6-H33)^2</f>
        <v>6.2629722092186237E-3</v>
      </c>
      <c r="J33" s="1">
        <f>2*(H33-$C$6)</f>
        <v>0.15827788486353517</v>
      </c>
      <c r="K33" s="10">
        <f t="shared" si="18"/>
        <v>7.287597022254895E-2</v>
      </c>
      <c r="L33" s="1">
        <v>1</v>
      </c>
      <c r="M33" s="1">
        <f t="shared" si="19"/>
        <v>1</v>
      </c>
      <c r="N33" s="10">
        <f t="shared" si="20"/>
        <v>0</v>
      </c>
      <c r="O33" s="1">
        <f t="shared" si="21"/>
        <v>1.153465442420302E-2</v>
      </c>
      <c r="P33" s="1">
        <f t="shared" si="22"/>
        <v>1.153465442420302E-2</v>
      </c>
      <c r="Q33" s="1">
        <f t="shared" si="23"/>
        <v>0</v>
      </c>
      <c r="R33" s="20"/>
      <c r="S33" s="21"/>
      <c r="T33" s="22"/>
    </row>
    <row r="34" spans="1:20" ht="15" thickBot="1" x14ac:dyDescent="0.35">
      <c r="A34" s="1"/>
      <c r="B34" s="1"/>
      <c r="C34" s="1"/>
      <c r="D34" s="1"/>
      <c r="E34" s="3">
        <v>1</v>
      </c>
      <c r="F34" s="3">
        <v>1</v>
      </c>
      <c r="G34" s="1">
        <f>A31+(B31*E34)+(C31*F34)</f>
        <v>0.64416948007213159</v>
      </c>
      <c r="H34" s="1">
        <f>1/(1+EXP(-G34))</f>
        <v>0.65569536815156571</v>
      </c>
      <c r="I34" s="10">
        <f>($C$7-H34)^2</f>
        <v>0.11854567951228588</v>
      </c>
      <c r="J34" s="1">
        <f>2*(H34-$C$7)</f>
        <v>-0.68860926369686859</v>
      </c>
      <c r="K34" s="10">
        <f t="shared" si="18"/>
        <v>0.22575895233614843</v>
      </c>
      <c r="L34" s="1">
        <v>1</v>
      </c>
      <c r="M34" s="1">
        <f t="shared" si="19"/>
        <v>1</v>
      </c>
      <c r="N34" s="10">
        <f t="shared" si="20"/>
        <v>1</v>
      </c>
      <c r="O34" s="1">
        <f t="shared" si="21"/>
        <v>-0.15545970594117162</v>
      </c>
      <c r="P34" s="1">
        <f t="shared" si="22"/>
        <v>-0.15545970594117162</v>
      </c>
      <c r="Q34" s="1">
        <f t="shared" si="23"/>
        <v>-0.15545970594117162</v>
      </c>
      <c r="R34" s="20"/>
      <c r="S34" s="21"/>
      <c r="T34" s="22"/>
    </row>
    <row r="35" spans="1:20" ht="15" thickBot="1" x14ac:dyDescent="0.35">
      <c r="A35" s="1"/>
      <c r="B35" s="1"/>
      <c r="C35" s="1"/>
      <c r="D35" s="1"/>
      <c r="E35" s="1"/>
      <c r="F35" s="1"/>
      <c r="G35" s="1"/>
      <c r="H35" s="1"/>
      <c r="I35" s="10">
        <f>SUM(I31:I34)</f>
        <v>1.1183620710675817</v>
      </c>
      <c r="J35" s="1"/>
      <c r="K35" s="1"/>
      <c r="L35" s="1"/>
      <c r="M35" s="1"/>
      <c r="N35" s="1"/>
      <c r="O35" s="1">
        <f>AVERAGE(O31:O34)</f>
        <v>3.7637491760877391E-2</v>
      </c>
      <c r="P35" s="1">
        <f>AVERAGE(P31:P34)</f>
        <v>-3.5981262879242151E-2</v>
      </c>
      <c r="Q35" s="1">
        <f>AVERAGE(Q31:Q34)</f>
        <v>-7.6253427276795592E-3</v>
      </c>
      <c r="R35" s="20"/>
      <c r="S35" s="21"/>
      <c r="T35" s="22"/>
    </row>
    <row r="36" spans="1:20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0"/>
      <c r="S36" s="21"/>
      <c r="T36" s="22"/>
    </row>
    <row r="37" spans="1:20" ht="15" thickBot="1" x14ac:dyDescent="0.35">
      <c r="A37" s="1" t="s">
        <v>27</v>
      </c>
      <c r="B37" s="3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0"/>
      <c r="S37" s="21"/>
      <c r="T37" s="22"/>
    </row>
    <row r="38" spans="1:20" ht="15" thickBot="1" x14ac:dyDescent="0.35">
      <c r="A38" s="8" t="s">
        <v>7</v>
      </c>
      <c r="B38" s="20" t="s">
        <v>8</v>
      </c>
      <c r="C38" s="22"/>
      <c r="D38" s="1"/>
      <c r="E38" s="20" t="s">
        <v>9</v>
      </c>
      <c r="F38" s="22"/>
      <c r="G38" s="7"/>
      <c r="H38" s="8" t="s">
        <v>10</v>
      </c>
      <c r="I38" s="9" t="s">
        <v>11</v>
      </c>
      <c r="J38" s="1"/>
      <c r="K38" s="10"/>
      <c r="L38" s="23" t="s">
        <v>12</v>
      </c>
      <c r="M38" s="16"/>
      <c r="N38" s="24"/>
      <c r="O38" s="25" t="s">
        <v>13</v>
      </c>
      <c r="P38" s="26"/>
      <c r="Q38" s="27"/>
      <c r="R38" s="20"/>
      <c r="S38" s="21"/>
      <c r="T38" s="22"/>
    </row>
    <row r="39" spans="1:20" ht="15" thickBot="1" x14ac:dyDescent="0.35">
      <c r="A39" s="11" t="s">
        <v>14</v>
      </c>
      <c r="B39" s="11" t="s">
        <v>15</v>
      </c>
      <c r="C39" s="11" t="s">
        <v>16</v>
      </c>
      <c r="D39" s="4"/>
      <c r="E39" s="11" t="s">
        <v>17</v>
      </c>
      <c r="F39" s="11" t="s">
        <v>18</v>
      </c>
      <c r="G39" s="11" t="s">
        <v>19</v>
      </c>
      <c r="H39" s="11" t="s">
        <v>20</v>
      </c>
      <c r="I39" s="12" t="s">
        <v>21</v>
      </c>
      <c r="J39" s="13" t="s">
        <v>22</v>
      </c>
      <c r="K39" s="14" t="s">
        <v>23</v>
      </c>
      <c r="L39" s="13" t="s">
        <v>24</v>
      </c>
      <c r="M39" s="13" t="s">
        <v>25</v>
      </c>
      <c r="N39" s="14" t="s">
        <v>26</v>
      </c>
      <c r="O39" s="13" t="s">
        <v>24</v>
      </c>
      <c r="P39" s="13" t="s">
        <v>25</v>
      </c>
      <c r="Q39" s="13" t="s">
        <v>26</v>
      </c>
      <c r="R39" s="20"/>
      <c r="S39" s="21"/>
      <c r="T39" s="22"/>
    </row>
    <row r="40" spans="1:20" ht="15" thickBot="1" x14ac:dyDescent="0.35">
      <c r="A40" s="1">
        <f>A31-$C$9*O35</f>
        <v>-0.92800692939482587</v>
      </c>
      <c r="B40" s="1">
        <f>B31-$C$9*P35</f>
        <v>-1.5426594512825405</v>
      </c>
      <c r="C40" s="1">
        <f>C31-$C$9*Q35</f>
        <v>3.1745269992099412</v>
      </c>
      <c r="D40" s="1"/>
      <c r="E40" s="3">
        <v>0</v>
      </c>
      <c r="F40" s="3">
        <v>0</v>
      </c>
      <c r="G40" s="1">
        <f>A40+(B40*E40)+(C40*F40)</f>
        <v>-0.92800692939482587</v>
      </c>
      <c r="H40" s="1">
        <f>1/(1+EXP(-G40))</f>
        <v>0.28332924020656652</v>
      </c>
      <c r="I40" s="10">
        <f>($C$4-H40)^2</f>
        <v>8.0275458356030269E-2</v>
      </c>
      <c r="J40" s="1">
        <f>2*(H40-$C$4)</f>
        <v>0.56665848041313305</v>
      </c>
      <c r="K40" s="10">
        <f xml:space="preserve"> EXP(-G40)/POWER(1+EXP(-G40),2)</f>
        <v>0.20305378185053624</v>
      </c>
      <c r="L40" s="1">
        <v>1</v>
      </c>
      <c r="M40" s="1">
        <f>E40</f>
        <v>0</v>
      </c>
      <c r="N40" s="10">
        <f>F40</f>
        <v>0</v>
      </c>
      <c r="O40" s="1">
        <f>J40*K40*L40</f>
        <v>0.11506214746556469</v>
      </c>
      <c r="P40" s="1">
        <f>J40*K40*M40</f>
        <v>0</v>
      </c>
      <c r="Q40" s="1">
        <f>J40*K40*N40</f>
        <v>0</v>
      </c>
      <c r="R40" s="20"/>
      <c r="S40" s="21"/>
      <c r="T40" s="22"/>
    </row>
    <row r="41" spans="1:20" ht="15" thickBot="1" x14ac:dyDescent="0.35">
      <c r="A41" s="1"/>
      <c r="B41" s="1"/>
      <c r="C41" s="1"/>
      <c r="D41" s="1"/>
      <c r="E41" s="3">
        <v>0</v>
      </c>
      <c r="F41" s="3">
        <v>1</v>
      </c>
      <c r="G41" s="1">
        <f>A40+(B40*E41)+(C40*F41)</f>
        <v>2.2465200698151153</v>
      </c>
      <c r="H41" s="1">
        <f t="shared" ref="H41:H42" si="24">1/(1+EXP(-G41))</f>
        <v>0.90434994049570649</v>
      </c>
      <c r="I41" s="10">
        <f>($C$5-H41)^2</f>
        <v>0.81784881487458783</v>
      </c>
      <c r="J41" s="1">
        <f>2*(H41-$C$5)</f>
        <v>1.808699880991413</v>
      </c>
      <c r="K41" s="10">
        <f t="shared" ref="K41:K43" si="25" xml:space="preserve"> EXP(-G41)/POWER(1+EXP(-G41),2)</f>
        <v>8.6501125621118599E-2</v>
      </c>
      <c r="L41" s="1">
        <v>1</v>
      </c>
      <c r="M41" s="1">
        <f t="shared" ref="M41:M43" si="26">E41</f>
        <v>0</v>
      </c>
      <c r="N41" s="10">
        <f t="shared" ref="N41:N43" si="27">F41</f>
        <v>1</v>
      </c>
      <c r="O41" s="1">
        <f t="shared" ref="O41:O43" si="28">J41*K41*L41</f>
        <v>0.15645457561654047</v>
      </c>
      <c r="P41" s="1">
        <f t="shared" ref="P41:P43" si="29">J41*K41*M41</f>
        <v>0</v>
      </c>
      <c r="Q41" s="1">
        <f t="shared" ref="Q41:Q43" si="30">J41*K41*N41</f>
        <v>0.15645457561654047</v>
      </c>
      <c r="R41" s="20"/>
      <c r="S41" s="21"/>
      <c r="T41" s="22"/>
    </row>
    <row r="42" spans="1:20" ht="15" thickBot="1" x14ac:dyDescent="0.35">
      <c r="A42" s="1"/>
      <c r="B42" s="1"/>
      <c r="C42" s="1"/>
      <c r="D42" s="1"/>
      <c r="E42" s="3">
        <v>1</v>
      </c>
      <c r="F42" s="3">
        <v>0</v>
      </c>
      <c r="G42" s="1">
        <f>A40+(B40*E42)+(C40*F42)</f>
        <v>-2.4706663806773665</v>
      </c>
      <c r="H42" s="1">
        <f t="shared" si="24"/>
        <v>7.7940331786699887E-2</v>
      </c>
      <c r="I42" s="10">
        <f>($C$6-H42)^2</f>
        <v>6.0746953190208607E-3</v>
      </c>
      <c r="J42" s="1">
        <f>2*(H42-$C$6)</f>
        <v>0.15588066357339977</v>
      </c>
      <c r="K42" s="10">
        <f t="shared" si="25"/>
        <v>7.1865636467679031E-2</v>
      </c>
      <c r="L42" s="1">
        <v>1</v>
      </c>
      <c r="M42" s="1">
        <f t="shared" si="26"/>
        <v>1</v>
      </c>
      <c r="N42" s="10">
        <f t="shared" si="27"/>
        <v>0</v>
      </c>
      <c r="O42" s="1">
        <f t="shared" si="28"/>
        <v>1.1202463100706526E-2</v>
      </c>
      <c r="P42" s="1">
        <f t="shared" si="29"/>
        <v>1.1202463100706526E-2</v>
      </c>
      <c r="Q42" s="1">
        <f t="shared" si="30"/>
        <v>0</v>
      </c>
      <c r="R42" s="20"/>
      <c r="S42" s="21"/>
      <c r="T42" s="22"/>
    </row>
    <row r="43" spans="1:20" ht="15" thickBot="1" x14ac:dyDescent="0.35">
      <c r="A43" s="1"/>
      <c r="B43" s="1"/>
      <c r="C43" s="1"/>
      <c r="D43" s="1"/>
      <c r="E43" s="3">
        <v>1</v>
      </c>
      <c r="F43" s="3">
        <v>1</v>
      </c>
      <c r="G43" s="1">
        <f>A40+(B40*E43)+(C40*F43)</f>
        <v>0.70386061853257464</v>
      </c>
      <c r="H43" s="1">
        <f>1/(1+EXP(-G43))</f>
        <v>0.66904316451948109</v>
      </c>
      <c r="I43" s="10">
        <f>($C$7-H43)^2</f>
        <v>0.10953242695127925</v>
      </c>
      <c r="J43" s="1">
        <f>2*(H43-$C$7)</f>
        <v>-0.66191367096103781</v>
      </c>
      <c r="K43" s="10">
        <f t="shared" si="25"/>
        <v>0.22142440852923964</v>
      </c>
      <c r="L43" s="1">
        <v>1</v>
      </c>
      <c r="M43" s="1">
        <f t="shared" si="26"/>
        <v>1</v>
      </c>
      <c r="N43" s="10">
        <f t="shared" si="27"/>
        <v>1</v>
      </c>
      <c r="O43" s="1">
        <f t="shared" si="28"/>
        <v>-0.14656384308996553</v>
      </c>
      <c r="P43" s="1">
        <f t="shared" si="29"/>
        <v>-0.14656384308996553</v>
      </c>
      <c r="Q43" s="1">
        <f t="shared" si="30"/>
        <v>-0.14656384308996553</v>
      </c>
      <c r="R43" s="20"/>
      <c r="S43" s="21"/>
      <c r="T43" s="22"/>
    </row>
    <row r="44" spans="1:20" ht="15" thickBot="1" x14ac:dyDescent="0.35">
      <c r="A44" s="1"/>
      <c r="B44" s="1"/>
      <c r="C44" s="1"/>
      <c r="D44" s="1"/>
      <c r="E44" s="1"/>
      <c r="F44" s="1"/>
      <c r="G44" s="1"/>
      <c r="H44" s="1"/>
      <c r="I44" s="10">
        <f>SUM(I40:I43)</f>
        <v>1.0137313955009182</v>
      </c>
      <c r="J44" s="1"/>
      <c r="K44" s="1"/>
      <c r="L44" s="1"/>
      <c r="M44" s="1"/>
      <c r="N44" s="1"/>
      <c r="O44" s="1">
        <f>AVERAGE(O40:O43)</f>
        <v>3.4038835773211547E-2</v>
      </c>
      <c r="P44" s="1">
        <f>AVERAGE(P40:P43)</f>
        <v>-3.3840344997314753E-2</v>
      </c>
      <c r="Q44" s="1">
        <f>AVERAGE(Q40:Q43)</f>
        <v>2.4726831316437339E-3</v>
      </c>
      <c r="R44" s="20"/>
      <c r="S44" s="21"/>
      <c r="T44" s="22"/>
    </row>
    <row r="45" spans="1:20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0"/>
      <c r="S45" s="21"/>
      <c r="T45" s="22"/>
    </row>
    <row r="46" spans="1:20" ht="15" thickBot="1" x14ac:dyDescent="0.35">
      <c r="A46" s="1" t="s">
        <v>27</v>
      </c>
      <c r="B46" s="3">
        <v>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0"/>
      <c r="S46" s="21"/>
      <c r="T46" s="22"/>
    </row>
    <row r="47" spans="1:20" ht="15" thickBot="1" x14ac:dyDescent="0.35">
      <c r="A47" s="8" t="s">
        <v>7</v>
      </c>
      <c r="B47" s="20" t="s">
        <v>8</v>
      </c>
      <c r="C47" s="22"/>
      <c r="D47" s="1"/>
      <c r="E47" s="20" t="s">
        <v>9</v>
      </c>
      <c r="F47" s="22"/>
      <c r="G47" s="7"/>
      <c r="H47" s="8" t="s">
        <v>10</v>
      </c>
      <c r="I47" s="9" t="s">
        <v>11</v>
      </c>
      <c r="J47" s="1"/>
      <c r="K47" s="10"/>
      <c r="L47" s="23" t="s">
        <v>12</v>
      </c>
      <c r="M47" s="16"/>
      <c r="N47" s="24"/>
      <c r="O47" s="25" t="s">
        <v>13</v>
      </c>
      <c r="P47" s="26"/>
      <c r="Q47" s="27"/>
      <c r="R47" s="20"/>
      <c r="S47" s="21"/>
      <c r="T47" s="22"/>
    </row>
    <row r="48" spans="1:20" ht="15" thickBot="1" x14ac:dyDescent="0.35">
      <c r="A48" s="11" t="s">
        <v>14</v>
      </c>
      <c r="B48" s="11" t="s">
        <v>15</v>
      </c>
      <c r="C48" s="11" t="s">
        <v>16</v>
      </c>
      <c r="D48" s="4"/>
      <c r="E48" s="11" t="s">
        <v>17</v>
      </c>
      <c r="F48" s="11" t="s">
        <v>18</v>
      </c>
      <c r="G48" s="11" t="s">
        <v>19</v>
      </c>
      <c r="H48" s="11" t="s">
        <v>20</v>
      </c>
      <c r="I48" s="12" t="s">
        <v>21</v>
      </c>
      <c r="J48" s="13" t="s">
        <v>22</v>
      </c>
      <c r="K48" s="14" t="s">
        <v>23</v>
      </c>
      <c r="L48" s="13" t="s">
        <v>24</v>
      </c>
      <c r="M48" s="13" t="s">
        <v>25</v>
      </c>
      <c r="N48" s="14" t="s">
        <v>26</v>
      </c>
      <c r="O48" s="13" t="s">
        <v>24</v>
      </c>
      <c r="P48" s="13" t="s">
        <v>25</v>
      </c>
      <c r="Q48" s="13" t="s">
        <v>26</v>
      </c>
      <c r="R48" s="20"/>
      <c r="S48" s="21"/>
      <c r="T48" s="22"/>
    </row>
    <row r="49" spans="1:20" ht="15" thickBot="1" x14ac:dyDescent="0.35">
      <c r="A49" s="1">
        <f>A40-$C$9*O44</f>
        <v>-1.2683952871269413</v>
      </c>
      <c r="B49" s="1">
        <f>B40-$C$9*P44</f>
        <v>-1.204256001309393</v>
      </c>
      <c r="C49" s="1">
        <f>C40-$C$9*Q44</f>
        <v>3.1498001678935039</v>
      </c>
      <c r="D49" s="1"/>
      <c r="E49" s="3">
        <v>0</v>
      </c>
      <c r="F49" s="3">
        <v>0</v>
      </c>
      <c r="G49" s="1">
        <f>A49+(B49*E49)+(C49*F49)</f>
        <v>-1.2683952871269413</v>
      </c>
      <c r="H49" s="1">
        <f>1/(1+EXP(-G49))</f>
        <v>0.21953207622167145</v>
      </c>
      <c r="I49" s="10">
        <f>($C$4-H49)^2</f>
        <v>4.8194332490197764E-2</v>
      </c>
      <c r="J49" s="1">
        <f>2*(H49-$C$4)</f>
        <v>0.4390641524433429</v>
      </c>
      <c r="K49" s="10">
        <f xml:space="preserve"> EXP(-G49)/POWER(1+EXP(-G49),2)</f>
        <v>0.17133774373147367</v>
      </c>
      <c r="L49" s="1">
        <v>1</v>
      </c>
      <c r="M49" s="1">
        <f>E49</f>
        <v>0</v>
      </c>
      <c r="N49" s="10">
        <f>F49</f>
        <v>0</v>
      </c>
      <c r="O49" s="1">
        <f>J49*K49*L49</f>
        <v>7.5228261233014182E-2</v>
      </c>
      <c r="P49" s="1">
        <f>J49*K49*M49</f>
        <v>0</v>
      </c>
      <c r="Q49" s="1">
        <f>J49*K49*N49</f>
        <v>0</v>
      </c>
      <c r="R49" s="20"/>
      <c r="S49" s="21"/>
      <c r="T49" s="22"/>
    </row>
    <row r="50" spans="1:20" ht="15" thickBot="1" x14ac:dyDescent="0.35">
      <c r="A50" s="1"/>
      <c r="B50" s="1"/>
      <c r="C50" s="1"/>
      <c r="D50" s="1"/>
      <c r="E50" s="3">
        <v>0</v>
      </c>
      <c r="F50" s="3">
        <v>1</v>
      </c>
      <c r="G50" s="1">
        <f>A49+(B49*E50)+(C49*F50)</f>
        <v>1.8814048807665626</v>
      </c>
      <c r="H50" s="1">
        <f t="shared" ref="H50:H51" si="31">1/(1+EXP(-G50))</f>
        <v>0.86777241063471289</v>
      </c>
      <c r="I50" s="10">
        <f>($C$5-H50)^2</f>
        <v>0.75302895665878078</v>
      </c>
      <c r="J50" s="1">
        <f>2*(H50-$C$5)</f>
        <v>1.7355448212694258</v>
      </c>
      <c r="K50" s="10">
        <f t="shared" ref="K50:K52" si="32" xml:space="preserve"> EXP(-G50)/POWER(1+EXP(-G50),2)</f>
        <v>0.11474345397593212</v>
      </c>
      <c r="L50" s="1">
        <v>1</v>
      </c>
      <c r="M50" s="1">
        <f t="shared" ref="M50:M52" si="33">E50</f>
        <v>0</v>
      </c>
      <c r="N50" s="10">
        <f t="shared" ref="N50:N52" si="34">F50</f>
        <v>1</v>
      </c>
      <c r="O50" s="1">
        <f t="shared" ref="O50:O52" si="35">J50*K50*L50</f>
        <v>0.19914240732249569</v>
      </c>
      <c r="P50" s="1">
        <f t="shared" ref="P50:P52" si="36">J50*K50*M50</f>
        <v>0</v>
      </c>
      <c r="Q50" s="1">
        <f t="shared" ref="Q50:Q52" si="37">J50*K50*N50</f>
        <v>0.19914240732249569</v>
      </c>
      <c r="R50" s="20"/>
      <c r="S50" s="21"/>
      <c r="T50" s="22"/>
    </row>
    <row r="51" spans="1:20" ht="15" thickBot="1" x14ac:dyDescent="0.35">
      <c r="A51" s="1"/>
      <c r="B51" s="1"/>
      <c r="C51" s="1"/>
      <c r="D51" s="1"/>
      <c r="E51" s="3">
        <v>1</v>
      </c>
      <c r="F51" s="3">
        <v>0</v>
      </c>
      <c r="G51" s="1">
        <f>A49+(B49*E51)+(C49*F51)</f>
        <v>-2.4726512884363343</v>
      </c>
      <c r="H51" s="1">
        <f t="shared" si="31"/>
        <v>7.7797804576167598E-2</v>
      </c>
      <c r="I51" s="10">
        <f>($C$6-H51)^2</f>
        <v>6.0524983968715642E-3</v>
      </c>
      <c r="J51" s="1">
        <f>2*(H51-$C$6)</f>
        <v>0.1555956091523352</v>
      </c>
      <c r="K51" s="10">
        <f t="shared" si="32"/>
        <v>7.1745306179296031E-2</v>
      </c>
      <c r="L51" s="1">
        <v>1</v>
      </c>
      <c r="M51" s="1">
        <f t="shared" si="33"/>
        <v>1</v>
      </c>
      <c r="N51" s="10">
        <f t="shared" si="34"/>
        <v>0</v>
      </c>
      <c r="O51" s="1">
        <f t="shared" si="35"/>
        <v>1.1163254618788365E-2</v>
      </c>
      <c r="P51" s="1">
        <f t="shared" si="36"/>
        <v>1.1163254618788365E-2</v>
      </c>
      <c r="Q51" s="1">
        <f t="shared" si="37"/>
        <v>0</v>
      </c>
      <c r="R51" s="20"/>
      <c r="S51" s="21"/>
      <c r="T51" s="22"/>
    </row>
    <row r="52" spans="1:20" ht="15" thickBot="1" x14ac:dyDescent="0.35">
      <c r="A52" s="1"/>
      <c r="B52" s="1"/>
      <c r="C52" s="1"/>
      <c r="D52" s="1"/>
      <c r="E52" s="3">
        <v>1</v>
      </c>
      <c r="F52" s="3">
        <v>1</v>
      </c>
      <c r="G52" s="1">
        <f>A49+(B49*E52)+(C49*F52)</f>
        <v>0.67714887945716962</v>
      </c>
      <c r="H52" s="1">
        <f>1/(1+EXP(-G52))</f>
        <v>0.66310206006400563</v>
      </c>
      <c r="I52" s="10">
        <f>($C$7-H52)^2</f>
        <v>0.11350022193311687</v>
      </c>
      <c r="J52" s="1">
        <f>2*(H52-$C$7)</f>
        <v>-0.67379587987198875</v>
      </c>
      <c r="K52" s="10">
        <f t="shared" si="32"/>
        <v>0.22339771800287753</v>
      </c>
      <c r="L52" s="1">
        <v>1</v>
      </c>
      <c r="M52" s="1">
        <f t="shared" si="33"/>
        <v>1</v>
      </c>
      <c r="N52" s="10">
        <f t="shared" si="34"/>
        <v>1</v>
      </c>
      <c r="O52" s="1">
        <f t="shared" si="35"/>
        <v>-0.15052446196314329</v>
      </c>
      <c r="P52" s="1">
        <f t="shared" si="36"/>
        <v>-0.15052446196314329</v>
      </c>
      <c r="Q52" s="1">
        <f t="shared" si="37"/>
        <v>-0.15052446196314329</v>
      </c>
      <c r="R52" s="20"/>
      <c r="S52" s="21"/>
      <c r="T52" s="22"/>
    </row>
    <row r="53" spans="1:20" ht="15" thickBot="1" x14ac:dyDescent="0.35">
      <c r="A53" s="1"/>
      <c r="B53" s="1"/>
      <c r="C53" s="1"/>
      <c r="D53" s="1"/>
      <c r="E53" s="1"/>
      <c r="F53" s="1"/>
      <c r="G53" s="1"/>
      <c r="H53" s="1"/>
      <c r="I53" s="10">
        <f>SUM(I49:I52)</f>
        <v>0.92077600947896698</v>
      </c>
      <c r="J53" s="1"/>
      <c r="K53" s="1"/>
      <c r="L53" s="1"/>
      <c r="M53" s="1"/>
      <c r="N53" s="1"/>
      <c r="O53" s="1">
        <f>AVERAGE(O49:O52)</f>
        <v>3.3752365302788731E-2</v>
      </c>
      <c r="P53" s="1">
        <f>AVERAGE(P49:P52)</f>
        <v>-3.484030183608873E-2</v>
      </c>
      <c r="Q53" s="1">
        <f>AVERAGE(Q49:Q52)</f>
        <v>1.2154486339838101E-2</v>
      </c>
      <c r="R53" s="20"/>
      <c r="S53" s="21"/>
      <c r="T53" s="22"/>
    </row>
    <row r="54" spans="1:20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0"/>
      <c r="S54" s="21"/>
      <c r="T54" s="22"/>
    </row>
    <row r="55" spans="1:20" ht="15" thickBot="1" x14ac:dyDescent="0.35">
      <c r="A55" s="1" t="s">
        <v>27</v>
      </c>
      <c r="B55" s="3">
        <v>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0"/>
      <c r="S55" s="21"/>
      <c r="T55" s="22"/>
    </row>
    <row r="56" spans="1:20" ht="15" thickBot="1" x14ac:dyDescent="0.35">
      <c r="A56" s="8" t="s">
        <v>7</v>
      </c>
      <c r="B56" s="20" t="s">
        <v>8</v>
      </c>
      <c r="C56" s="22"/>
      <c r="D56" s="1"/>
      <c r="E56" s="20" t="s">
        <v>9</v>
      </c>
      <c r="F56" s="22"/>
      <c r="G56" s="7"/>
      <c r="H56" s="8" t="s">
        <v>10</v>
      </c>
      <c r="I56" s="9" t="s">
        <v>11</v>
      </c>
      <c r="J56" s="1"/>
      <c r="K56" s="10"/>
      <c r="L56" s="23" t="s">
        <v>12</v>
      </c>
      <c r="M56" s="16"/>
      <c r="N56" s="24"/>
      <c r="O56" s="25" t="s">
        <v>13</v>
      </c>
      <c r="P56" s="26"/>
      <c r="Q56" s="27"/>
      <c r="R56" s="20"/>
      <c r="S56" s="21"/>
      <c r="T56" s="22"/>
    </row>
    <row r="57" spans="1:20" ht="15" thickBot="1" x14ac:dyDescent="0.35">
      <c r="A57" s="11" t="s">
        <v>14</v>
      </c>
      <c r="B57" s="11" t="s">
        <v>15</v>
      </c>
      <c r="C57" s="11" t="s">
        <v>16</v>
      </c>
      <c r="D57" s="4"/>
      <c r="E57" s="11" t="s">
        <v>17</v>
      </c>
      <c r="F57" s="11" t="s">
        <v>18</v>
      </c>
      <c r="G57" s="11" t="s">
        <v>19</v>
      </c>
      <c r="H57" s="11" t="s">
        <v>20</v>
      </c>
      <c r="I57" s="12" t="s">
        <v>21</v>
      </c>
      <c r="J57" s="13" t="s">
        <v>22</v>
      </c>
      <c r="K57" s="14" t="s">
        <v>23</v>
      </c>
      <c r="L57" s="13" t="s">
        <v>24</v>
      </c>
      <c r="M57" s="13" t="s">
        <v>25</v>
      </c>
      <c r="N57" s="14" t="s">
        <v>26</v>
      </c>
      <c r="O57" s="13" t="s">
        <v>24</v>
      </c>
      <c r="P57" s="13" t="s">
        <v>25</v>
      </c>
      <c r="Q57" s="13" t="s">
        <v>26</v>
      </c>
      <c r="R57" s="20"/>
      <c r="S57" s="21"/>
      <c r="T57" s="22"/>
    </row>
    <row r="58" spans="1:20" ht="15" thickBot="1" x14ac:dyDescent="0.35">
      <c r="A58" s="1">
        <f>A49-$C$9*O53</f>
        <v>-1.6059189401548286</v>
      </c>
      <c r="B58" s="1">
        <f>B49-$C$9*P53</f>
        <v>-0.85585298294850576</v>
      </c>
      <c r="C58" s="1">
        <f>C49-$C$9*Q53</f>
        <v>3.028255304495123</v>
      </c>
      <c r="D58" s="1"/>
      <c r="E58" s="3">
        <v>0</v>
      </c>
      <c r="F58" s="3">
        <v>0</v>
      </c>
      <c r="G58" s="1">
        <f>A58+(B58*E58)+(C58*F58)</f>
        <v>-1.6059189401548286</v>
      </c>
      <c r="H58" s="1">
        <f>1/(1+EXP(-G58))</f>
        <v>0.16715598627900566</v>
      </c>
      <c r="I58" s="10">
        <f>($C$4-H58)^2</f>
        <v>2.7941123748907129E-2</v>
      </c>
      <c r="J58" s="1">
        <f>2*(H58-$C$4)</f>
        <v>0.33431197255801132</v>
      </c>
      <c r="K58" s="10">
        <f xml:space="preserve"> EXP(-G58)/POWER(1+EXP(-G58),2)</f>
        <v>0.13921486253009852</v>
      </c>
      <c r="L58" s="1">
        <v>1</v>
      </c>
      <c r="M58" s="1">
        <f>E58</f>
        <v>0</v>
      </c>
      <c r="N58" s="10">
        <f>F58</f>
        <v>0</v>
      </c>
      <c r="O58" s="1">
        <f>J58*K58*L58</f>
        <v>4.654119530182961E-2</v>
      </c>
      <c r="P58" s="1">
        <f>J58*K58*M58</f>
        <v>0</v>
      </c>
      <c r="Q58" s="1">
        <f>J58*K58*N58</f>
        <v>0</v>
      </c>
      <c r="R58" s="20"/>
      <c r="S58" s="21"/>
      <c r="T58" s="22"/>
    </row>
    <row r="59" spans="1:20" ht="15" thickBot="1" x14ac:dyDescent="0.35">
      <c r="A59" s="1"/>
      <c r="B59" s="1"/>
      <c r="C59" s="1"/>
      <c r="D59" s="1"/>
      <c r="E59" s="3">
        <v>0</v>
      </c>
      <c r="F59" s="3">
        <v>1</v>
      </c>
      <c r="G59" s="1">
        <f>A58+(B58*E59)+(C58*F59)</f>
        <v>1.4223363643402944</v>
      </c>
      <c r="H59" s="1">
        <f t="shared" ref="H59:H60" si="38">1/(1+EXP(-G59))</f>
        <v>0.80570442335892545</v>
      </c>
      <c r="I59" s="10">
        <f>($C$5-H59)^2</f>
        <v>0.64915961782013853</v>
      </c>
      <c r="J59" s="1">
        <f>2*(H59-$C$5)</f>
        <v>1.6114088467178509</v>
      </c>
      <c r="K59" s="10">
        <f t="shared" ref="K59:K61" si="39" xml:space="preserve"> EXP(-G59)/POWER(1+EXP(-G59),2)</f>
        <v>0.15654480553878686</v>
      </c>
      <c r="L59" s="1">
        <v>1</v>
      </c>
      <c r="M59" s="1">
        <f t="shared" ref="M59:M61" si="40">E59</f>
        <v>0</v>
      </c>
      <c r="N59" s="10">
        <f t="shared" ref="N59:N61" si="41">F59</f>
        <v>1</v>
      </c>
      <c r="O59" s="1">
        <f t="shared" ref="O59:O61" si="42">J59*K59*L59</f>
        <v>0.25225768455292674</v>
      </c>
      <c r="P59" s="1">
        <f t="shared" ref="P59:P61" si="43">J59*K59*M59</f>
        <v>0</v>
      </c>
      <c r="Q59" s="1">
        <f t="shared" ref="Q59:Q61" si="44">J59*K59*N59</f>
        <v>0.25225768455292674</v>
      </c>
      <c r="R59" s="20"/>
      <c r="S59" s="21"/>
      <c r="T59" s="22"/>
    </row>
    <row r="60" spans="1:20" ht="15" thickBot="1" x14ac:dyDescent="0.35">
      <c r="A60" s="1"/>
      <c r="B60" s="1"/>
      <c r="C60" s="1"/>
      <c r="D60" s="1"/>
      <c r="E60" s="3">
        <v>1</v>
      </c>
      <c r="F60" s="3">
        <v>0</v>
      </c>
      <c r="G60" s="1">
        <f>A58+(B58*E60)+(C58*F60)</f>
        <v>-2.4617719231033344</v>
      </c>
      <c r="H60" s="1">
        <f t="shared" si="38"/>
        <v>7.8581942010937794E-2</v>
      </c>
      <c r="I60" s="10">
        <f>($C$6-H60)^2</f>
        <v>6.1751216102103905E-3</v>
      </c>
      <c r="J60" s="1">
        <f>2*(H60-$C$6)</f>
        <v>0.15716388402187559</v>
      </c>
      <c r="K60" s="10">
        <f t="shared" si="39"/>
        <v>7.2406820400727406E-2</v>
      </c>
      <c r="L60" s="1">
        <v>1</v>
      </c>
      <c r="M60" s="1">
        <f t="shared" si="40"/>
        <v>1</v>
      </c>
      <c r="N60" s="10">
        <f t="shared" si="41"/>
        <v>0</v>
      </c>
      <c r="O60" s="1">
        <f t="shared" si="42"/>
        <v>1.1379737123852698E-2</v>
      </c>
      <c r="P60" s="1">
        <f t="shared" si="43"/>
        <v>1.1379737123852698E-2</v>
      </c>
      <c r="Q60" s="1">
        <f t="shared" si="44"/>
        <v>0</v>
      </c>
      <c r="R60" s="20"/>
      <c r="S60" s="21"/>
      <c r="T60" s="22"/>
    </row>
    <row r="61" spans="1:20" ht="15" thickBot="1" x14ac:dyDescent="0.35">
      <c r="A61" s="1"/>
      <c r="B61" s="1"/>
      <c r="C61" s="1"/>
      <c r="D61" s="1"/>
      <c r="E61" s="3">
        <v>1</v>
      </c>
      <c r="F61" s="3">
        <v>1</v>
      </c>
      <c r="G61" s="1">
        <f>A58+(B58*E61)+(C58*F61)</f>
        <v>0.56648338139178867</v>
      </c>
      <c r="H61" s="1">
        <f>1/(1+EXP(-G61))</f>
        <v>0.63795133843630891</v>
      </c>
      <c r="I61" s="10">
        <f>($C$7-H61)^2</f>
        <v>0.13107923334006014</v>
      </c>
      <c r="J61" s="1">
        <f>2*(H61-$C$7)</f>
        <v>-0.72409732312738218</v>
      </c>
      <c r="K61" s="10">
        <f t="shared" si="39"/>
        <v>0.23096942822363095</v>
      </c>
      <c r="L61" s="1">
        <v>1</v>
      </c>
      <c r="M61" s="1">
        <f t="shared" si="40"/>
        <v>1</v>
      </c>
      <c r="N61" s="10">
        <f t="shared" si="41"/>
        <v>1</v>
      </c>
      <c r="O61" s="1">
        <f t="shared" si="42"/>
        <v>-0.1672443447009932</v>
      </c>
      <c r="P61" s="1">
        <f t="shared" si="43"/>
        <v>-0.1672443447009932</v>
      </c>
      <c r="Q61" s="1">
        <f t="shared" si="44"/>
        <v>-0.1672443447009932</v>
      </c>
      <c r="R61" s="20"/>
      <c r="S61" s="21"/>
      <c r="T61" s="22"/>
    </row>
    <row r="62" spans="1:20" ht="15" thickBot="1" x14ac:dyDescent="0.35">
      <c r="A62" s="1"/>
      <c r="B62" s="1"/>
      <c r="C62" s="1"/>
      <c r="D62" s="1"/>
      <c r="E62" s="1"/>
      <c r="F62" s="1"/>
      <c r="G62" s="1"/>
      <c r="H62" s="1"/>
      <c r="I62" s="10">
        <f>SUM(I58:I61)</f>
        <v>0.81435509651931615</v>
      </c>
      <c r="J62" s="1"/>
      <c r="K62" s="1"/>
      <c r="L62" s="1"/>
      <c r="M62" s="1"/>
      <c r="N62" s="1"/>
      <c r="O62" s="1">
        <f>AVERAGE(O58:O61)</f>
        <v>3.5733568069403962E-2</v>
      </c>
      <c r="P62" s="1">
        <f>AVERAGE(P58:P61)</f>
        <v>-3.8966151894285123E-2</v>
      </c>
      <c r="Q62" s="1">
        <f>AVERAGE(Q58:Q61)</f>
        <v>2.1253334962983386E-2</v>
      </c>
      <c r="R62" s="20"/>
      <c r="S62" s="21"/>
      <c r="T62" s="22"/>
    </row>
    <row r="63" spans="1:20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0"/>
      <c r="S63" s="21"/>
      <c r="T63" s="22"/>
    </row>
    <row r="64" spans="1:20" ht="15" thickBot="1" x14ac:dyDescent="0.35">
      <c r="A64" s="1" t="s">
        <v>27</v>
      </c>
      <c r="B64" s="3">
        <v>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0"/>
      <c r="S64" s="21"/>
      <c r="T64" s="22"/>
    </row>
    <row r="65" spans="1:20" ht="15" thickBot="1" x14ac:dyDescent="0.35">
      <c r="A65" s="8" t="s">
        <v>7</v>
      </c>
      <c r="B65" s="20" t="s">
        <v>8</v>
      </c>
      <c r="C65" s="22"/>
      <c r="D65" s="1"/>
      <c r="E65" s="20" t="s">
        <v>9</v>
      </c>
      <c r="F65" s="22"/>
      <c r="G65" s="7"/>
      <c r="H65" s="8" t="s">
        <v>10</v>
      </c>
      <c r="I65" s="9" t="s">
        <v>11</v>
      </c>
      <c r="J65" s="1"/>
      <c r="K65" s="10"/>
      <c r="L65" s="23" t="s">
        <v>12</v>
      </c>
      <c r="M65" s="16"/>
      <c r="N65" s="24"/>
      <c r="O65" s="25" t="s">
        <v>13</v>
      </c>
      <c r="P65" s="26"/>
      <c r="Q65" s="27"/>
      <c r="R65" s="20"/>
      <c r="S65" s="21"/>
      <c r="T65" s="22"/>
    </row>
    <row r="66" spans="1:20" ht="15" thickBot="1" x14ac:dyDescent="0.35">
      <c r="A66" s="11" t="s">
        <v>14</v>
      </c>
      <c r="B66" s="11" t="s">
        <v>15</v>
      </c>
      <c r="C66" s="11" t="s">
        <v>16</v>
      </c>
      <c r="D66" s="4"/>
      <c r="E66" s="11" t="s">
        <v>17</v>
      </c>
      <c r="F66" s="11" t="s">
        <v>18</v>
      </c>
      <c r="G66" s="11" t="s">
        <v>19</v>
      </c>
      <c r="H66" s="11" t="s">
        <v>20</v>
      </c>
      <c r="I66" s="12" t="s">
        <v>21</v>
      </c>
      <c r="J66" s="13" t="s">
        <v>22</v>
      </c>
      <c r="K66" s="14" t="s">
        <v>23</v>
      </c>
      <c r="L66" s="13" t="s">
        <v>24</v>
      </c>
      <c r="M66" s="13" t="s">
        <v>25</v>
      </c>
      <c r="N66" s="14" t="s">
        <v>26</v>
      </c>
      <c r="O66" s="13" t="s">
        <v>24</v>
      </c>
      <c r="P66" s="13" t="s">
        <v>25</v>
      </c>
      <c r="Q66" s="13" t="s">
        <v>26</v>
      </c>
      <c r="R66" s="20"/>
      <c r="S66" s="21"/>
      <c r="T66" s="22"/>
    </row>
    <row r="67" spans="1:20" ht="15" thickBot="1" x14ac:dyDescent="0.35">
      <c r="A67" s="1">
        <f>A58-$C$9*O62</f>
        <v>-1.9632546208488684</v>
      </c>
      <c r="B67" s="1">
        <f>B58-$C$9*P62</f>
        <v>-0.46619146400565453</v>
      </c>
      <c r="C67" s="1">
        <f>C58-$C$9*Q62</f>
        <v>2.815721954865289</v>
      </c>
      <c r="D67" s="1"/>
      <c r="E67" s="3">
        <v>0</v>
      </c>
      <c r="F67" s="3">
        <v>0</v>
      </c>
      <c r="G67" s="1">
        <f>A67+(B67*E67)+(C67*F67)</f>
        <v>-1.9632546208488684</v>
      </c>
      <c r="H67" s="1">
        <f>1/(1+EXP(-G67))</f>
        <v>0.12311525436551643</v>
      </c>
      <c r="I67" s="10">
        <f>($C$4-H67)^2</f>
        <v>1.5157365857485812E-2</v>
      </c>
      <c r="J67" s="1">
        <f>2*(H67-$C$4)</f>
        <v>0.24623050873103286</v>
      </c>
      <c r="K67" s="10">
        <f xml:space="preserve"> EXP(-G67)/POWER(1+EXP(-G67),2)</f>
        <v>0.10795788850803062</v>
      </c>
      <c r="L67" s="1">
        <v>1</v>
      </c>
      <c r="M67" s="1">
        <f>E67</f>
        <v>0</v>
      </c>
      <c r="N67" s="10">
        <f>F67</f>
        <v>0</v>
      </c>
      <c r="O67" s="1">
        <f>J67*K67*L67</f>
        <v>2.6582525808860506E-2</v>
      </c>
      <c r="P67" s="1">
        <f>J67*K67*M67</f>
        <v>0</v>
      </c>
      <c r="Q67" s="1">
        <f>J67*K67*N67</f>
        <v>0</v>
      </c>
      <c r="R67" s="20"/>
      <c r="S67" s="21"/>
      <c r="T67" s="22"/>
    </row>
    <row r="68" spans="1:20" ht="15" thickBot="1" x14ac:dyDescent="0.35">
      <c r="A68" s="1"/>
      <c r="B68" s="1"/>
      <c r="C68" s="1"/>
      <c r="D68" s="1"/>
      <c r="E68" s="3">
        <v>0</v>
      </c>
      <c r="F68" s="3">
        <v>1</v>
      </c>
      <c r="G68" s="1">
        <f>A67+(B67*E68)+(C67*F68)</f>
        <v>0.85246733401642061</v>
      </c>
      <c r="H68" s="1">
        <f t="shared" ref="H68:H69" si="45">1/(1+EXP(-G68))</f>
        <v>0.70108446582358486</v>
      </c>
      <c r="I68" s="10">
        <f>($C$5-H68)^2</f>
        <v>0.4915194282191413</v>
      </c>
      <c r="J68" s="1">
        <f>2*(H68-$C$5)</f>
        <v>1.4021689316471697</v>
      </c>
      <c r="K68" s="10">
        <f t="shared" ref="K68:K70" si="46" xml:space="preserve"> EXP(-G68)/POWER(1+EXP(-G68),2)</f>
        <v>0.20956503760444353</v>
      </c>
      <c r="L68" s="1">
        <v>1</v>
      </c>
      <c r="M68" s="1">
        <f t="shared" ref="M68:M70" si="47">E68</f>
        <v>0</v>
      </c>
      <c r="N68" s="10">
        <f t="shared" ref="N68:N70" si="48">F68</f>
        <v>1</v>
      </c>
      <c r="O68" s="1">
        <f t="shared" ref="O68:O70" si="49">J68*K68*L68</f>
        <v>0.29384558488842155</v>
      </c>
      <c r="P68" s="1">
        <f t="shared" ref="P68:P70" si="50">J68*K68*M68</f>
        <v>0</v>
      </c>
      <c r="Q68" s="1">
        <f t="shared" ref="Q68:Q70" si="51">J68*K68*N68</f>
        <v>0.29384558488842155</v>
      </c>
      <c r="R68" s="20"/>
      <c r="S68" s="21"/>
      <c r="T68" s="22"/>
    </row>
    <row r="69" spans="1:20" ht="15" thickBot="1" x14ac:dyDescent="0.35">
      <c r="A69" s="1"/>
      <c r="B69" s="1"/>
      <c r="C69" s="1"/>
      <c r="D69" s="1"/>
      <c r="E69" s="3">
        <v>1</v>
      </c>
      <c r="F69" s="3">
        <v>0</v>
      </c>
      <c r="G69" s="1">
        <f>A67+(B67*E69)+(C67*F69)</f>
        <v>-2.429446084854523</v>
      </c>
      <c r="H69" s="1">
        <f t="shared" si="45"/>
        <v>8.0954669497544179E-2</v>
      </c>
      <c r="I69" s="10">
        <f>($C$6-H69)^2</f>
        <v>6.5536585134566101E-3</v>
      </c>
      <c r="J69" s="1">
        <f>2*(H69-$C$6)</f>
        <v>0.16190933899508836</v>
      </c>
      <c r="K69" s="10">
        <f t="shared" si="46"/>
        <v>7.4401010984087565E-2</v>
      </c>
      <c r="L69" s="1">
        <v>1</v>
      </c>
      <c r="M69" s="1">
        <f t="shared" si="47"/>
        <v>1</v>
      </c>
      <c r="N69" s="10">
        <f t="shared" si="48"/>
        <v>0</v>
      </c>
      <c r="O69" s="1">
        <f t="shared" si="49"/>
        <v>1.2046218508999926E-2</v>
      </c>
      <c r="P69" s="1">
        <f t="shared" si="50"/>
        <v>1.2046218508999926E-2</v>
      </c>
      <c r="Q69" s="1">
        <f t="shared" si="51"/>
        <v>0</v>
      </c>
      <c r="R69" s="20"/>
      <c r="S69" s="21"/>
      <c r="T69" s="22"/>
    </row>
    <row r="70" spans="1:20" ht="15" thickBot="1" x14ac:dyDescent="0.35">
      <c r="A70" s="1"/>
      <c r="B70" s="1"/>
      <c r="C70" s="1"/>
      <c r="D70" s="1"/>
      <c r="E70" s="3">
        <v>1</v>
      </c>
      <c r="F70" s="3">
        <v>1</v>
      </c>
      <c r="G70" s="1">
        <f>A67+(B67*E70)+(C67*F70)</f>
        <v>0.38627587001076602</v>
      </c>
      <c r="H70" s="1">
        <f>1/(1+EXP(-G70))</f>
        <v>0.59538587027958145</v>
      </c>
      <c r="I70" s="10">
        <f>($C$7-H70)^2</f>
        <v>0.16371259396941168</v>
      </c>
      <c r="J70" s="1">
        <f>2*(H70-$C$7)</f>
        <v>-0.80922825944083709</v>
      </c>
      <c r="K70" s="10">
        <f t="shared" si="46"/>
        <v>0.24090153575100681</v>
      </c>
      <c r="L70" s="1">
        <v>1</v>
      </c>
      <c r="M70" s="1">
        <f t="shared" si="47"/>
        <v>1</v>
      </c>
      <c r="N70" s="10">
        <f t="shared" si="48"/>
        <v>1</v>
      </c>
      <c r="O70" s="1">
        <f t="shared" si="49"/>
        <v>-0.19494433047241183</v>
      </c>
      <c r="P70" s="1">
        <f t="shared" si="50"/>
        <v>-0.19494433047241183</v>
      </c>
      <c r="Q70" s="1">
        <f t="shared" si="51"/>
        <v>-0.19494433047241183</v>
      </c>
      <c r="R70" s="20"/>
      <c r="S70" s="21"/>
      <c r="T70" s="22"/>
    </row>
    <row r="71" spans="1:20" ht="15" thickBot="1" x14ac:dyDescent="0.35">
      <c r="A71" s="1"/>
      <c r="B71" s="1"/>
      <c r="C71" s="1"/>
      <c r="D71" s="1"/>
      <c r="E71" s="1"/>
      <c r="F71" s="1"/>
      <c r="G71" s="1"/>
      <c r="H71" s="1"/>
      <c r="I71" s="10">
        <f>SUM(I67:I70)</f>
        <v>0.67694304655949544</v>
      </c>
      <c r="J71" s="1"/>
      <c r="K71" s="1"/>
      <c r="L71" s="1"/>
      <c r="M71" s="1"/>
      <c r="N71" s="1"/>
      <c r="O71" s="1">
        <f>AVERAGE(O67:O70)</f>
        <v>3.4382499683467543E-2</v>
      </c>
      <c r="P71" s="1">
        <f>AVERAGE(P67:P70)</f>
        <v>-4.5724527990852977E-2</v>
      </c>
      <c r="Q71" s="1">
        <f>AVERAGE(Q67:Q70)</f>
        <v>2.472531360400243E-2</v>
      </c>
      <c r="R71" s="20"/>
      <c r="S71" s="21"/>
      <c r="T71" s="22"/>
    </row>
    <row r="72" spans="1:20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0"/>
      <c r="S72" s="21"/>
      <c r="T72" s="22"/>
    </row>
    <row r="73" spans="1:20" ht="15" thickBot="1" x14ac:dyDescent="0.35">
      <c r="A73" s="1" t="s">
        <v>27</v>
      </c>
      <c r="B73" s="3">
        <v>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0"/>
      <c r="S73" s="21"/>
      <c r="T73" s="22"/>
    </row>
    <row r="74" spans="1:20" ht="15" thickBot="1" x14ac:dyDescent="0.35">
      <c r="A74" s="8" t="s">
        <v>7</v>
      </c>
      <c r="B74" s="20" t="s">
        <v>8</v>
      </c>
      <c r="C74" s="22"/>
      <c r="D74" s="1"/>
      <c r="E74" s="20" t="s">
        <v>9</v>
      </c>
      <c r="F74" s="22"/>
      <c r="G74" s="7"/>
      <c r="H74" s="8" t="s">
        <v>10</v>
      </c>
      <c r="I74" s="9" t="s">
        <v>11</v>
      </c>
      <c r="J74" s="1"/>
      <c r="K74" s="10"/>
      <c r="L74" s="23" t="s">
        <v>12</v>
      </c>
      <c r="M74" s="16"/>
      <c r="N74" s="24"/>
      <c r="O74" s="25" t="s">
        <v>13</v>
      </c>
      <c r="P74" s="26"/>
      <c r="Q74" s="27"/>
      <c r="R74" s="20"/>
      <c r="S74" s="21"/>
      <c r="T74" s="22"/>
    </row>
    <row r="75" spans="1:20" ht="15" thickBot="1" x14ac:dyDescent="0.35">
      <c r="A75" s="11" t="s">
        <v>14</v>
      </c>
      <c r="B75" s="11" t="s">
        <v>15</v>
      </c>
      <c r="C75" s="11" t="s">
        <v>16</v>
      </c>
      <c r="D75" s="4"/>
      <c r="E75" s="11" t="s">
        <v>17</v>
      </c>
      <c r="F75" s="11" t="s">
        <v>18</v>
      </c>
      <c r="G75" s="11" t="s">
        <v>19</v>
      </c>
      <c r="H75" s="11" t="s">
        <v>20</v>
      </c>
      <c r="I75" s="12" t="s">
        <v>21</v>
      </c>
      <c r="J75" s="13" t="s">
        <v>22</v>
      </c>
      <c r="K75" s="14" t="s">
        <v>23</v>
      </c>
      <c r="L75" s="13" t="s">
        <v>24</v>
      </c>
      <c r="M75" s="13" t="s">
        <v>25</v>
      </c>
      <c r="N75" s="14" t="s">
        <v>26</v>
      </c>
      <c r="O75" s="13" t="s">
        <v>24</v>
      </c>
      <c r="P75" s="13" t="s">
        <v>25</v>
      </c>
      <c r="Q75" s="13" t="s">
        <v>26</v>
      </c>
      <c r="R75" s="20"/>
      <c r="S75" s="21"/>
      <c r="T75" s="22"/>
    </row>
    <row r="76" spans="1:20" ht="15" thickBot="1" x14ac:dyDescent="0.35">
      <c r="A76" s="1">
        <f>A67-$C$9*O71</f>
        <v>-2.3070796176835437</v>
      </c>
      <c r="B76" s="1">
        <f>B67-$C$9*P71</f>
        <v>-8.9461840971247764E-3</v>
      </c>
      <c r="C76" s="1">
        <f>C67-$C$9*Q71</f>
        <v>2.5684688188252647</v>
      </c>
      <c r="D76" s="1"/>
      <c r="E76" s="3">
        <v>0</v>
      </c>
      <c r="F76" s="3">
        <v>0</v>
      </c>
      <c r="G76" s="1">
        <f>A76+(B76*E76)+(C76*F76)</f>
        <v>-2.3070796176835437</v>
      </c>
      <c r="H76" s="1">
        <f>1/(1+EXP(-G76))</f>
        <v>9.0538324927777525E-2</v>
      </c>
      <c r="I76" s="10">
        <f>($C$4-H76)^2</f>
        <v>8.1971882807278205E-3</v>
      </c>
      <c r="J76" s="1">
        <f>2*(H76-$C$4)</f>
        <v>0.18107664985555505</v>
      </c>
      <c r="K76" s="10">
        <f xml:space="preserve"> EXP(-G76)/POWER(1+EXP(-G76),2)</f>
        <v>8.2341136647049701E-2</v>
      </c>
      <c r="L76" s="1">
        <v>1</v>
      </c>
      <c r="M76" s="1">
        <f>E76</f>
        <v>0</v>
      </c>
      <c r="N76" s="10">
        <f>F76</f>
        <v>0</v>
      </c>
      <c r="O76" s="1">
        <f>J76*K76*L76</f>
        <v>1.4910057169346231E-2</v>
      </c>
      <c r="P76" s="1">
        <f>J76*K76*M76</f>
        <v>0</v>
      </c>
      <c r="Q76" s="1">
        <f>J76*K76*N76</f>
        <v>0</v>
      </c>
      <c r="R76" s="20"/>
      <c r="S76" s="21"/>
      <c r="T76" s="22"/>
    </row>
    <row r="77" spans="1:20" ht="15" thickBot="1" x14ac:dyDescent="0.35">
      <c r="A77" s="1"/>
      <c r="B77" s="1"/>
      <c r="C77" s="1"/>
      <c r="D77" s="1"/>
      <c r="E77" s="3">
        <v>0</v>
      </c>
      <c r="F77" s="3">
        <v>1</v>
      </c>
      <c r="G77" s="1">
        <f>A76+(B76*E77)+(C76*F77)</f>
        <v>0.26138920114172093</v>
      </c>
      <c r="H77" s="1">
        <f t="shared" ref="H77:H78" si="52">1/(1+EXP(-G77))</f>
        <v>0.56497775749808654</v>
      </c>
      <c r="I77" s="10">
        <f>($C$5-H77)^2</f>
        <v>0.31919986646756671</v>
      </c>
      <c r="J77" s="1">
        <f>2*(H77-$C$5)</f>
        <v>1.1299555149961731</v>
      </c>
      <c r="K77" s="10">
        <f t="shared" ref="K77:K79" si="53" xml:space="preserve"> EXP(-G77)/POWER(1+EXP(-G77),2)</f>
        <v>0.24577789103051986</v>
      </c>
      <c r="L77" s="1">
        <v>1</v>
      </c>
      <c r="M77" s="1">
        <f t="shared" ref="M77:M79" si="54">E77</f>
        <v>0</v>
      </c>
      <c r="N77" s="10">
        <f t="shared" ref="N77:N79" si="55">F77</f>
        <v>1</v>
      </c>
      <c r="O77" s="1">
        <f t="shared" ref="O77:O79" si="56">J77*K77*L77</f>
        <v>0.2777180834340644</v>
      </c>
      <c r="P77" s="1">
        <f t="shared" ref="P77:P79" si="57">J77*K77*M77</f>
        <v>0</v>
      </c>
      <c r="Q77" s="1">
        <f t="shared" ref="Q77:Q79" si="58">J77*K77*N77</f>
        <v>0.2777180834340644</v>
      </c>
      <c r="R77" s="20"/>
      <c r="S77" s="21"/>
      <c r="T77" s="22"/>
    </row>
    <row r="78" spans="1:20" ht="15" thickBot="1" x14ac:dyDescent="0.35">
      <c r="A78" s="1"/>
      <c r="B78" s="1"/>
      <c r="C78" s="1"/>
      <c r="D78" s="1"/>
      <c r="E78" s="3">
        <v>1</v>
      </c>
      <c r="F78" s="3">
        <v>0</v>
      </c>
      <c r="G78" s="1">
        <f>A76+(B76*E78)+(C76*F78)</f>
        <v>-2.3160258017806683</v>
      </c>
      <c r="H78" s="1">
        <f t="shared" si="52"/>
        <v>8.980437938586816E-2</v>
      </c>
      <c r="I78" s="10">
        <f>($C$6-H78)^2</f>
        <v>8.064826556880943E-3</v>
      </c>
      <c r="J78" s="1">
        <f>2*(H78-$C$6)</f>
        <v>0.17960875877173632</v>
      </c>
      <c r="K78" s="10">
        <f t="shared" si="53"/>
        <v>8.1739552828987219E-2</v>
      </c>
      <c r="L78" s="1">
        <v>1</v>
      </c>
      <c r="M78" s="1">
        <f t="shared" si="54"/>
        <v>1</v>
      </c>
      <c r="N78" s="10">
        <f t="shared" si="55"/>
        <v>0</v>
      </c>
      <c r="O78" s="1">
        <f t="shared" si="56"/>
        <v>1.4681139626171163E-2</v>
      </c>
      <c r="P78" s="1">
        <f t="shared" si="57"/>
        <v>1.4681139626171163E-2</v>
      </c>
      <c r="Q78" s="1">
        <f t="shared" si="58"/>
        <v>0</v>
      </c>
      <c r="R78" s="20"/>
      <c r="S78" s="21"/>
      <c r="T78" s="22"/>
    </row>
    <row r="79" spans="1:20" ht="15" thickBot="1" x14ac:dyDescent="0.35">
      <c r="A79" s="1"/>
      <c r="B79" s="1"/>
      <c r="C79" s="1"/>
      <c r="D79" s="1"/>
      <c r="E79" s="3">
        <v>1</v>
      </c>
      <c r="F79" s="3">
        <v>1</v>
      </c>
      <c r="G79" s="1">
        <f>A76+(B76*E79)+(C76*F79)</f>
        <v>0.25244301704459637</v>
      </c>
      <c r="H79" s="1">
        <f>1/(1+EXP(-G79))</f>
        <v>0.56277771902217599</v>
      </c>
      <c r="I79" s="10">
        <f>($C$7-H79)^2</f>
        <v>0.19116332298345129</v>
      </c>
      <c r="J79" s="1">
        <f>2*(H79-$C$7)</f>
        <v>-0.87444456195564801</v>
      </c>
      <c r="K79" s="10">
        <f t="shared" si="53"/>
        <v>0.24605895799437269</v>
      </c>
      <c r="L79" s="1">
        <v>1</v>
      </c>
      <c r="M79" s="1">
        <f t="shared" si="54"/>
        <v>1</v>
      </c>
      <c r="N79" s="10">
        <f t="shared" si="55"/>
        <v>1</v>
      </c>
      <c r="O79" s="1">
        <f t="shared" si="56"/>
        <v>-0.21516491773865243</v>
      </c>
      <c r="P79" s="1">
        <f t="shared" si="57"/>
        <v>-0.21516491773865243</v>
      </c>
      <c r="Q79" s="1">
        <f t="shared" si="58"/>
        <v>-0.21516491773865243</v>
      </c>
      <c r="R79" s="20"/>
      <c r="S79" s="21"/>
      <c r="T79" s="22"/>
    </row>
    <row r="80" spans="1:20" ht="15" thickBot="1" x14ac:dyDescent="0.35">
      <c r="A80" s="1"/>
      <c r="B80" s="1"/>
      <c r="C80" s="1"/>
      <c r="D80" s="1"/>
      <c r="E80" s="1"/>
      <c r="F80" s="1"/>
      <c r="G80" s="1"/>
      <c r="H80" s="1"/>
      <c r="I80" s="10">
        <f>SUM(I76:I79)</f>
        <v>0.5266252042886268</v>
      </c>
      <c r="J80" s="1"/>
      <c r="K80" s="1"/>
      <c r="L80" s="1"/>
      <c r="M80" s="1"/>
      <c r="N80" s="1"/>
      <c r="O80" s="1">
        <f>AVERAGE(O76:O79)</f>
        <v>2.3036090622732347E-2</v>
      </c>
      <c r="P80" s="1">
        <f>AVERAGE(P76:P79)</f>
        <v>-5.0120944528120319E-2</v>
      </c>
      <c r="Q80" s="1">
        <f>AVERAGE(Q76:Q79)</f>
        <v>1.5638291423852993E-2</v>
      </c>
      <c r="R80" s="20"/>
      <c r="S80" s="21"/>
      <c r="T80" s="22"/>
    </row>
    <row r="81" spans="1:20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20"/>
      <c r="S81" s="21"/>
      <c r="T81" s="22"/>
    </row>
    <row r="82" spans="1:20" ht="15" thickBot="1" x14ac:dyDescent="0.35">
      <c r="A82" s="1" t="s">
        <v>27</v>
      </c>
      <c r="B82" s="3">
        <v>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0"/>
      <c r="S82" s="21"/>
      <c r="T82" s="22"/>
    </row>
    <row r="83" spans="1:20" ht="15" thickBot="1" x14ac:dyDescent="0.35">
      <c r="A83" s="8" t="s">
        <v>7</v>
      </c>
      <c r="B83" s="20" t="s">
        <v>8</v>
      </c>
      <c r="C83" s="22"/>
      <c r="D83" s="1"/>
      <c r="E83" s="20" t="s">
        <v>9</v>
      </c>
      <c r="F83" s="22"/>
      <c r="G83" s="7"/>
      <c r="H83" s="8" t="s">
        <v>10</v>
      </c>
      <c r="I83" s="9" t="s">
        <v>11</v>
      </c>
      <c r="J83" s="1"/>
      <c r="K83" s="10"/>
      <c r="L83" s="23" t="s">
        <v>12</v>
      </c>
      <c r="M83" s="16"/>
      <c r="N83" s="24"/>
      <c r="O83" s="25" t="s">
        <v>13</v>
      </c>
      <c r="P83" s="26"/>
      <c r="Q83" s="27"/>
      <c r="R83" s="20"/>
      <c r="S83" s="21"/>
      <c r="T83" s="22"/>
    </row>
    <row r="84" spans="1:20" ht="15" thickBot="1" x14ac:dyDescent="0.35">
      <c r="A84" s="11" t="s">
        <v>14</v>
      </c>
      <c r="B84" s="11" t="s">
        <v>15</v>
      </c>
      <c r="C84" s="11" t="s">
        <v>16</v>
      </c>
      <c r="D84" s="4"/>
      <c r="E84" s="11" t="s">
        <v>17</v>
      </c>
      <c r="F84" s="11" t="s">
        <v>18</v>
      </c>
      <c r="G84" s="11" t="s">
        <v>19</v>
      </c>
      <c r="H84" s="11" t="s">
        <v>20</v>
      </c>
      <c r="I84" s="12" t="s">
        <v>21</v>
      </c>
      <c r="J84" s="13" t="s">
        <v>22</v>
      </c>
      <c r="K84" s="14" t="s">
        <v>23</v>
      </c>
      <c r="L84" s="13" t="s">
        <v>24</v>
      </c>
      <c r="M84" s="13" t="s">
        <v>25</v>
      </c>
      <c r="N84" s="14" t="s">
        <v>26</v>
      </c>
      <c r="O84" s="13" t="s">
        <v>24</v>
      </c>
      <c r="P84" s="13" t="s">
        <v>25</v>
      </c>
      <c r="Q84" s="13" t="s">
        <v>26</v>
      </c>
      <c r="R84" s="20"/>
      <c r="S84" s="21"/>
      <c r="T84" s="22"/>
    </row>
    <row r="85" spans="1:20" ht="15" thickBot="1" x14ac:dyDescent="0.35">
      <c r="A85" s="1">
        <f>A76-$C$9*O80</f>
        <v>-2.5374405239108673</v>
      </c>
      <c r="B85" s="1">
        <f>B76-$C$9*P80</f>
        <v>0.49226326118407837</v>
      </c>
      <c r="C85" s="1">
        <f>C76-$C$9*Q80</f>
        <v>2.4120859045867347</v>
      </c>
      <c r="D85" s="1"/>
      <c r="E85" s="3">
        <v>0</v>
      </c>
      <c r="F85" s="3">
        <v>0</v>
      </c>
      <c r="G85" s="1">
        <f>A85+(B85*E85)+(C85*F85)</f>
        <v>-2.5374405239108673</v>
      </c>
      <c r="H85" s="1">
        <f>1/(1+EXP(-G85))</f>
        <v>7.3274786448020213E-2</v>
      </c>
      <c r="I85" s="10">
        <f>($C$4-H85)^2</f>
        <v>5.3691943290029662E-3</v>
      </c>
      <c r="J85" s="1">
        <f>2*(H85-$C$4)</f>
        <v>0.14654957289604043</v>
      </c>
      <c r="K85" s="10">
        <f xml:space="preserve"> EXP(-G85)/POWER(1+EXP(-G85),2)</f>
        <v>6.7905592119017255E-2</v>
      </c>
      <c r="L85" s="1">
        <v>1</v>
      </c>
      <c r="M85" s="1">
        <f>E85</f>
        <v>0</v>
      </c>
      <c r="N85" s="10">
        <f>F85</f>
        <v>0</v>
      </c>
      <c r="O85" s="1">
        <f>J85*K85*L85</f>
        <v>9.9515355222947067E-3</v>
      </c>
      <c r="P85" s="1">
        <f>J85*K85*M85</f>
        <v>0</v>
      </c>
      <c r="Q85" s="1">
        <f>J85*K85*N85</f>
        <v>0</v>
      </c>
      <c r="R85" s="20"/>
      <c r="S85" s="21"/>
      <c r="T85" s="22"/>
    </row>
    <row r="86" spans="1:20" ht="15" thickBot="1" x14ac:dyDescent="0.35">
      <c r="A86" s="1"/>
      <c r="B86" s="1"/>
      <c r="C86" s="1"/>
      <c r="D86" s="1"/>
      <c r="E86" s="3">
        <v>0</v>
      </c>
      <c r="F86" s="3">
        <v>1</v>
      </c>
      <c r="G86" s="1">
        <f>A85+(B85*E86)+(C85*F86)</f>
        <v>-0.12535461932413261</v>
      </c>
      <c r="H86" s="1">
        <f t="shared" ref="H86:H87" si="59">1/(1+EXP(-G86))</f>
        <v>0.46870231818156743</v>
      </c>
      <c r="I86" s="10">
        <f>($C$5-H86)^2</f>
        <v>0.21968186306877527</v>
      </c>
      <c r="J86" s="1">
        <f>2*(H86-$C$5)</f>
        <v>0.93740463636313487</v>
      </c>
      <c r="K86" s="10">
        <f t="shared" ref="K86:K88" si="60" xml:space="preserve"> EXP(-G86)/POWER(1+EXP(-G86),2)</f>
        <v>0.24902045511279219</v>
      </c>
      <c r="L86" s="1">
        <v>1</v>
      </c>
      <c r="M86" s="1">
        <f t="shared" ref="M86:M88" si="61">E86</f>
        <v>0</v>
      </c>
      <c r="N86" s="10">
        <f t="shared" ref="N86:N88" si="62">F86</f>
        <v>1</v>
      </c>
      <c r="O86" s="1">
        <f t="shared" ref="O86:O88" si="63">J86*K86*L86</f>
        <v>0.23343292917198932</v>
      </c>
      <c r="P86" s="1">
        <f t="shared" ref="P86:P88" si="64">J86*K86*M86</f>
        <v>0</v>
      </c>
      <c r="Q86" s="1">
        <f t="shared" ref="Q86:Q88" si="65">J86*K86*N86</f>
        <v>0.23343292917198932</v>
      </c>
      <c r="R86" s="20"/>
      <c r="S86" s="21"/>
      <c r="T86" s="22"/>
    </row>
    <row r="87" spans="1:20" ht="15" thickBot="1" x14ac:dyDescent="0.35">
      <c r="A87" s="1"/>
      <c r="B87" s="1"/>
      <c r="C87" s="1"/>
      <c r="D87" s="1"/>
      <c r="E87" s="3">
        <v>1</v>
      </c>
      <c r="F87" s="3">
        <v>0</v>
      </c>
      <c r="G87" s="1">
        <f>A85+(B85*E87)+(C85*F87)</f>
        <v>-2.045177262726789</v>
      </c>
      <c r="H87" s="1">
        <f t="shared" si="59"/>
        <v>0.11454059983224138</v>
      </c>
      <c r="I87" s="10">
        <f>($C$6-H87)^2</f>
        <v>1.3119549009929654E-2</v>
      </c>
      <c r="J87" s="1">
        <f>2*(H87-$C$6)</f>
        <v>0.22908119966448276</v>
      </c>
      <c r="K87" s="10">
        <f t="shared" si="60"/>
        <v>0.10142105082231173</v>
      </c>
      <c r="L87" s="1">
        <v>1</v>
      </c>
      <c r="M87" s="1">
        <f t="shared" si="61"/>
        <v>1</v>
      </c>
      <c r="N87" s="10">
        <f t="shared" si="62"/>
        <v>0</v>
      </c>
      <c r="O87" s="1">
        <f t="shared" si="63"/>
        <v>2.3233655993607646E-2</v>
      </c>
      <c r="P87" s="1">
        <f t="shared" si="64"/>
        <v>2.3233655993607646E-2</v>
      </c>
      <c r="Q87" s="1">
        <f t="shared" si="65"/>
        <v>0</v>
      </c>
      <c r="R87" s="20"/>
      <c r="S87" s="21"/>
      <c r="T87" s="22"/>
    </row>
    <row r="88" spans="1:20" ht="15" thickBot="1" x14ac:dyDescent="0.35">
      <c r="A88" s="1"/>
      <c r="B88" s="1"/>
      <c r="C88" s="1"/>
      <c r="D88" s="1"/>
      <c r="E88" s="3">
        <v>1</v>
      </c>
      <c r="F88" s="3">
        <v>1</v>
      </c>
      <c r="G88" s="1">
        <f>A85+(B85*E88)+(C85*F88)</f>
        <v>0.36690864185994565</v>
      </c>
      <c r="H88" s="1">
        <f>1/(1+EXP(-G88))</f>
        <v>0.59071178665917357</v>
      </c>
      <c r="I88" s="10">
        <f>($C$7-H88)^2</f>
        <v>0.16751684157972585</v>
      </c>
      <c r="J88" s="1">
        <f>2*(H88-$C$7)</f>
        <v>-0.81857642668165287</v>
      </c>
      <c r="K88" s="10">
        <f t="shared" si="60"/>
        <v>0.24177137176110058</v>
      </c>
      <c r="L88" s="1">
        <v>1</v>
      </c>
      <c r="M88" s="1">
        <f t="shared" si="61"/>
        <v>1</v>
      </c>
      <c r="N88" s="10">
        <f t="shared" si="62"/>
        <v>1</v>
      </c>
      <c r="O88" s="1">
        <f t="shared" si="63"/>
        <v>-0.19790834557012318</v>
      </c>
      <c r="P88" s="1">
        <f t="shared" si="64"/>
        <v>-0.19790834557012318</v>
      </c>
      <c r="Q88" s="1">
        <f t="shared" si="65"/>
        <v>-0.19790834557012318</v>
      </c>
      <c r="R88" s="20"/>
      <c r="S88" s="21"/>
      <c r="T88" s="22"/>
    </row>
    <row r="89" spans="1:20" ht="15" thickBot="1" x14ac:dyDescent="0.35">
      <c r="A89" s="1"/>
      <c r="B89" s="1"/>
      <c r="C89" s="1"/>
      <c r="D89" s="1"/>
      <c r="E89" s="1"/>
      <c r="F89" s="1"/>
      <c r="G89" s="1"/>
      <c r="H89" s="1"/>
      <c r="I89" s="10">
        <f>SUM(I85:I88)</f>
        <v>0.40568744798743372</v>
      </c>
      <c r="J89" s="1"/>
      <c r="K89" s="1"/>
      <c r="L89" s="1"/>
      <c r="M89" s="1"/>
      <c r="N89" s="1"/>
      <c r="O89" s="1">
        <f>AVERAGE(O85:O88)</f>
        <v>1.7177443779442129E-2</v>
      </c>
      <c r="P89" s="1">
        <f>AVERAGE(P85:P88)</f>
        <v>-4.3668672394128888E-2</v>
      </c>
      <c r="Q89" s="1">
        <f>AVERAGE(Q85:Q88)</f>
        <v>8.8811459004665347E-3</v>
      </c>
      <c r="R89" s="20"/>
      <c r="S89" s="21"/>
      <c r="T89" s="22"/>
    </row>
    <row r="90" spans="1:20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20"/>
      <c r="S90" s="21"/>
      <c r="T90" s="22"/>
    </row>
    <row r="91" spans="1:20" ht="15" thickBot="1" x14ac:dyDescent="0.35">
      <c r="A91" s="1" t="s">
        <v>27</v>
      </c>
      <c r="B91" s="3">
        <v>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20"/>
      <c r="S91" s="21"/>
      <c r="T91" s="22"/>
    </row>
    <row r="92" spans="1:20" ht="15" thickBot="1" x14ac:dyDescent="0.35">
      <c r="A92" s="8" t="s">
        <v>7</v>
      </c>
      <c r="B92" s="20" t="s">
        <v>8</v>
      </c>
      <c r="C92" s="22"/>
      <c r="D92" s="1"/>
      <c r="E92" s="20" t="s">
        <v>9</v>
      </c>
      <c r="F92" s="22"/>
      <c r="G92" s="7"/>
      <c r="H92" s="8" t="s">
        <v>10</v>
      </c>
      <c r="I92" s="9" t="s">
        <v>11</v>
      </c>
      <c r="J92" s="1"/>
      <c r="K92" s="10"/>
      <c r="L92" s="23" t="s">
        <v>12</v>
      </c>
      <c r="M92" s="16"/>
      <c r="N92" s="24"/>
      <c r="O92" s="25" t="s">
        <v>13</v>
      </c>
      <c r="P92" s="26"/>
      <c r="Q92" s="27"/>
      <c r="R92" s="20"/>
      <c r="S92" s="21"/>
      <c r="T92" s="22"/>
    </row>
    <row r="93" spans="1:20" ht="15" thickBot="1" x14ac:dyDescent="0.35">
      <c r="A93" s="11" t="s">
        <v>14</v>
      </c>
      <c r="B93" s="11" t="s">
        <v>15</v>
      </c>
      <c r="C93" s="11" t="s">
        <v>16</v>
      </c>
      <c r="D93" s="4"/>
      <c r="E93" s="11" t="s">
        <v>17</v>
      </c>
      <c r="F93" s="11" t="s">
        <v>18</v>
      </c>
      <c r="G93" s="11" t="s">
        <v>19</v>
      </c>
      <c r="H93" s="11" t="s">
        <v>20</v>
      </c>
      <c r="I93" s="12" t="s">
        <v>21</v>
      </c>
      <c r="J93" s="13" t="s">
        <v>22</v>
      </c>
      <c r="K93" s="14" t="s">
        <v>23</v>
      </c>
      <c r="L93" s="13" t="s">
        <v>24</v>
      </c>
      <c r="M93" s="13" t="s">
        <v>25</v>
      </c>
      <c r="N93" s="14" t="s">
        <v>26</v>
      </c>
      <c r="O93" s="13" t="s">
        <v>24</v>
      </c>
      <c r="P93" s="13" t="s">
        <v>25</v>
      </c>
      <c r="Q93" s="13" t="s">
        <v>26</v>
      </c>
      <c r="R93" s="20"/>
      <c r="S93" s="21"/>
      <c r="T93" s="22"/>
    </row>
    <row r="94" spans="1:20" ht="15" thickBot="1" x14ac:dyDescent="0.35">
      <c r="A94" s="1">
        <f>A85-$C$9*O89</f>
        <v>-2.7092149617052885</v>
      </c>
      <c r="B94" s="1">
        <f>B85-$C$9*P89</f>
        <v>0.92894998512536731</v>
      </c>
      <c r="C94" s="1">
        <f>C85-$C$9*Q89</f>
        <v>2.3232744455820695</v>
      </c>
      <c r="D94" s="1"/>
      <c r="E94" s="3">
        <v>0</v>
      </c>
      <c r="F94" s="3">
        <v>0</v>
      </c>
      <c r="G94" s="1">
        <f>A94+(B94*E94)+(C94*F94)</f>
        <v>-2.7092149617052885</v>
      </c>
      <c r="H94" s="1">
        <f>1/(1+EXP(-G94))</f>
        <v>6.2431787076255442E-2</v>
      </c>
      <c r="I94" s="10">
        <f>($C$4-H94)^2</f>
        <v>3.8977280375348958E-3</v>
      </c>
      <c r="J94" s="1">
        <f>2*(H94-$C$4)</f>
        <v>0.12486357415251088</v>
      </c>
      <c r="K94" s="10">
        <f xml:space="preserve"> EXP(-G94)/POWER(1+EXP(-G94),2)</f>
        <v>5.8534059038720547E-2</v>
      </c>
      <c r="L94" s="1">
        <v>1</v>
      </c>
      <c r="M94" s="1">
        <f>E94</f>
        <v>0</v>
      </c>
      <c r="N94" s="10">
        <f>F94</f>
        <v>0</v>
      </c>
      <c r="O94" s="1">
        <f>J94*K94*L94</f>
        <v>7.308771821228733E-3</v>
      </c>
      <c r="P94" s="1">
        <f>J94*K94*M94</f>
        <v>0</v>
      </c>
      <c r="Q94" s="1">
        <f>J94*K94*N94</f>
        <v>0</v>
      </c>
      <c r="R94" s="20"/>
      <c r="S94" s="21"/>
      <c r="T94" s="22"/>
    </row>
    <row r="95" spans="1:20" ht="15" thickBot="1" x14ac:dyDescent="0.35">
      <c r="A95" s="1"/>
      <c r="B95" s="1"/>
      <c r="C95" s="1"/>
      <c r="D95" s="1"/>
      <c r="E95" s="3">
        <v>0</v>
      </c>
      <c r="F95" s="3">
        <v>1</v>
      </c>
      <c r="G95" s="1">
        <f>A94+(B94*E95)+(C94*F95)</f>
        <v>-0.385940516123219</v>
      </c>
      <c r="H95" s="1">
        <f t="shared" ref="H95:H96" si="66">1/(1+EXP(-G95))</f>
        <v>0.40469491957049908</v>
      </c>
      <c r="I95" s="10">
        <f>($C$5-H95)^2</f>
        <v>0.16377797792617271</v>
      </c>
      <c r="J95" s="1">
        <f>2*(H95-$C$5)</f>
        <v>0.80938983914099816</v>
      </c>
      <c r="K95" s="10">
        <f t="shared" ref="K95:K97" si="67" xml:space="preserve"> EXP(-G95)/POWER(1+EXP(-G95),2)</f>
        <v>0.24091694164432637</v>
      </c>
      <c r="L95" s="1">
        <v>1</v>
      </c>
      <c r="M95" s="1">
        <f t="shared" ref="M95:M97" si="68">E95</f>
        <v>0</v>
      </c>
      <c r="N95" s="10">
        <f t="shared" ref="N95:N97" si="69">F95</f>
        <v>1</v>
      </c>
      <c r="O95" s="1">
        <f t="shared" ref="O95:O97" si="70">J95*K95*L95</f>
        <v>0.19499572464384254</v>
      </c>
      <c r="P95" s="1">
        <f t="shared" ref="P95:P97" si="71">J95*K95*M95</f>
        <v>0</v>
      </c>
      <c r="Q95" s="1">
        <f t="shared" ref="Q95:Q97" si="72">J95*K95*N95</f>
        <v>0.19499572464384254</v>
      </c>
      <c r="R95" s="20"/>
      <c r="S95" s="21"/>
      <c r="T95" s="22"/>
    </row>
    <row r="96" spans="1:20" ht="15" thickBot="1" x14ac:dyDescent="0.35">
      <c r="A96" s="1"/>
      <c r="B96" s="1"/>
      <c r="C96" s="1"/>
      <c r="D96" s="1"/>
      <c r="E96" s="3">
        <v>1</v>
      </c>
      <c r="F96" s="3">
        <v>0</v>
      </c>
      <c r="G96" s="1">
        <f>A94+(B94*E96)+(C94*F96)</f>
        <v>-1.7802649765799212</v>
      </c>
      <c r="H96" s="1">
        <f t="shared" si="66"/>
        <v>0.14427041793516757</v>
      </c>
      <c r="I96" s="10">
        <f>($C$6-H96)^2</f>
        <v>2.081395349118792E-2</v>
      </c>
      <c r="J96" s="1">
        <f>2*(H96-$C$6)</f>
        <v>0.28854083587033513</v>
      </c>
      <c r="K96" s="10">
        <f t="shared" si="67"/>
        <v>0.12345646444397965</v>
      </c>
      <c r="L96" s="1">
        <v>1</v>
      </c>
      <c r="M96" s="1">
        <f t="shared" si="68"/>
        <v>1</v>
      </c>
      <c r="N96" s="10">
        <f t="shared" si="69"/>
        <v>0</v>
      </c>
      <c r="O96" s="1">
        <f t="shared" si="70"/>
        <v>3.5622231444262194E-2</v>
      </c>
      <c r="P96" s="1">
        <f t="shared" si="71"/>
        <v>3.5622231444262194E-2</v>
      </c>
      <c r="Q96" s="1">
        <f t="shared" si="72"/>
        <v>0</v>
      </c>
      <c r="R96" s="20"/>
      <c r="S96" s="21"/>
      <c r="T96" s="22"/>
    </row>
    <row r="97" spans="1:20" ht="15" thickBot="1" x14ac:dyDescent="0.35">
      <c r="A97" s="1"/>
      <c r="B97" s="1"/>
      <c r="C97" s="1"/>
      <c r="D97" s="1"/>
      <c r="E97" s="3">
        <v>1</v>
      </c>
      <c r="F97" s="3">
        <v>1</v>
      </c>
      <c r="G97" s="1">
        <f>A94+(B94*E97)+(C94*F97)</f>
        <v>0.5430094690021483</v>
      </c>
      <c r="H97" s="1">
        <f>1/(1+EXP(-G97))</f>
        <v>0.63251221879790209</v>
      </c>
      <c r="I97" s="10">
        <f>($C$7-H97)^2</f>
        <v>0.13504726933284097</v>
      </c>
      <c r="J97" s="1">
        <f>2*(H97-$C$7)</f>
        <v>-0.73497556240419581</v>
      </c>
      <c r="K97" s="10">
        <f t="shared" si="67"/>
        <v>0.23244051186925696</v>
      </c>
      <c r="L97" s="1">
        <v>1</v>
      </c>
      <c r="M97" s="1">
        <f t="shared" si="68"/>
        <v>1</v>
      </c>
      <c r="N97" s="10">
        <f t="shared" si="69"/>
        <v>1</v>
      </c>
      <c r="O97" s="1">
        <f t="shared" si="70"/>
        <v>-0.1708380959366263</v>
      </c>
      <c r="P97" s="1">
        <f t="shared" si="71"/>
        <v>-0.1708380959366263</v>
      </c>
      <c r="Q97" s="1">
        <f t="shared" si="72"/>
        <v>-0.1708380959366263</v>
      </c>
      <c r="R97" s="20"/>
      <c r="S97" s="21"/>
      <c r="T97" s="22"/>
    </row>
    <row r="98" spans="1:20" ht="15" thickBot="1" x14ac:dyDescent="0.35">
      <c r="A98" s="1"/>
      <c r="B98" s="1"/>
      <c r="C98" s="1"/>
      <c r="D98" s="1"/>
      <c r="E98" s="1"/>
      <c r="F98" s="1"/>
      <c r="G98" s="1"/>
      <c r="H98" s="1"/>
      <c r="I98" s="10">
        <f>SUM(I94:I97)</f>
        <v>0.32353692878773654</v>
      </c>
      <c r="J98" s="1"/>
      <c r="K98" s="1"/>
      <c r="L98" s="1"/>
      <c r="M98" s="1"/>
      <c r="N98" s="1"/>
      <c r="O98" s="1">
        <f>AVERAGE(O94:O97)</f>
        <v>1.6772157993176794E-2</v>
      </c>
      <c r="P98" s="1">
        <f>AVERAGE(P94:P97)</f>
        <v>-3.3803966123091028E-2</v>
      </c>
      <c r="Q98" s="1">
        <f>AVERAGE(Q94:Q97)</f>
        <v>6.0394071768040611E-3</v>
      </c>
      <c r="R98" s="20"/>
      <c r="S98" s="21"/>
      <c r="T98" s="22"/>
    </row>
    <row r="99" spans="1:20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20"/>
      <c r="S99" s="21"/>
      <c r="T99" s="22"/>
    </row>
    <row r="100" spans="1:20" ht="15" thickBot="1" x14ac:dyDescent="0.35">
      <c r="A100" s="1" t="s">
        <v>27</v>
      </c>
      <c r="B100" s="3">
        <v>10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0"/>
      <c r="S100" s="21"/>
      <c r="T100" s="22"/>
    </row>
    <row r="101" spans="1:20" ht="15" thickBot="1" x14ac:dyDescent="0.35">
      <c r="A101" s="8" t="s">
        <v>7</v>
      </c>
      <c r="B101" s="20" t="s">
        <v>8</v>
      </c>
      <c r="C101" s="22"/>
      <c r="D101" s="1"/>
      <c r="E101" s="20" t="s">
        <v>9</v>
      </c>
      <c r="F101" s="22"/>
      <c r="G101" s="7"/>
      <c r="H101" s="8" t="s">
        <v>10</v>
      </c>
      <c r="I101" s="9" t="s">
        <v>11</v>
      </c>
      <c r="J101" s="1"/>
      <c r="K101" s="10"/>
      <c r="L101" s="23" t="s">
        <v>12</v>
      </c>
      <c r="M101" s="16"/>
      <c r="N101" s="24"/>
      <c r="O101" s="25" t="s">
        <v>13</v>
      </c>
      <c r="P101" s="26"/>
      <c r="Q101" s="27"/>
      <c r="R101" s="20"/>
      <c r="S101" s="21"/>
      <c r="T101" s="22"/>
    </row>
    <row r="102" spans="1:20" ht="15" thickBot="1" x14ac:dyDescent="0.35">
      <c r="A102" s="11" t="s">
        <v>14</v>
      </c>
      <c r="B102" s="11" t="s">
        <v>15</v>
      </c>
      <c r="C102" s="11" t="s">
        <v>16</v>
      </c>
      <c r="D102" s="4"/>
      <c r="E102" s="11" t="s">
        <v>17</v>
      </c>
      <c r="F102" s="11" t="s">
        <v>18</v>
      </c>
      <c r="G102" s="11" t="s">
        <v>19</v>
      </c>
      <c r="H102" s="11" t="s">
        <v>20</v>
      </c>
      <c r="I102" s="12" t="s">
        <v>21</v>
      </c>
      <c r="J102" s="13" t="s">
        <v>22</v>
      </c>
      <c r="K102" s="14" t="s">
        <v>23</v>
      </c>
      <c r="L102" s="13" t="s">
        <v>24</v>
      </c>
      <c r="M102" s="13" t="s">
        <v>25</v>
      </c>
      <c r="N102" s="14" t="s">
        <v>26</v>
      </c>
      <c r="O102" s="13" t="s">
        <v>24</v>
      </c>
      <c r="P102" s="13" t="s">
        <v>25</v>
      </c>
      <c r="Q102" s="13" t="s">
        <v>26</v>
      </c>
      <c r="R102" s="20"/>
      <c r="S102" s="21"/>
      <c r="T102" s="22"/>
    </row>
    <row r="103" spans="1:20" ht="15" thickBot="1" x14ac:dyDescent="0.35">
      <c r="A103" s="1">
        <f>A94-$C$9*O98</f>
        <v>-2.8769365416370567</v>
      </c>
      <c r="B103" s="1">
        <f>B94-$C$9*P98</f>
        <v>1.2669896463562775</v>
      </c>
      <c r="C103" s="1">
        <f>C94-$C$9*Q98</f>
        <v>2.2628803738140291</v>
      </c>
      <c r="D103" s="1"/>
      <c r="E103" s="3">
        <v>0</v>
      </c>
      <c r="F103" s="3">
        <v>0</v>
      </c>
      <c r="G103" s="1">
        <f>A103+(B103*E103)+(C103*F103)</f>
        <v>-2.8769365416370567</v>
      </c>
      <c r="H103" s="1">
        <f>1/(1+EXP(-G103))</f>
        <v>5.3305519503579459E-2</v>
      </c>
      <c r="I103" s="10">
        <f>($C$4-H103)^2</f>
        <v>2.8414784095464902E-3</v>
      </c>
      <c r="J103" s="1">
        <f>2*(H103-$C$4)</f>
        <v>0.10661103900715892</v>
      </c>
      <c r="K103" s="10">
        <f xml:space="preserve"> EXP(-G103)/POWER(1+EXP(-G103),2)</f>
        <v>5.0464041094032963E-2</v>
      </c>
      <c r="L103" s="1">
        <v>1</v>
      </c>
      <c r="M103" s="1">
        <f>E103</f>
        <v>0</v>
      </c>
      <c r="N103" s="10">
        <f>F103</f>
        <v>0</v>
      </c>
      <c r="O103" s="1">
        <f>J103*K103*L103</f>
        <v>5.3800238535348186E-3</v>
      </c>
      <c r="P103" s="1">
        <f>J103*K103*M103</f>
        <v>0</v>
      </c>
      <c r="Q103" s="1">
        <f>J103*K103*N103</f>
        <v>0</v>
      </c>
      <c r="R103" s="20"/>
      <c r="S103" s="21"/>
      <c r="T103" s="22"/>
    </row>
    <row r="104" spans="1:20" ht="15" thickBot="1" x14ac:dyDescent="0.35">
      <c r="A104" s="1"/>
      <c r="B104" s="1"/>
      <c r="C104" s="1"/>
      <c r="D104" s="1"/>
      <c r="E104" s="3">
        <v>0</v>
      </c>
      <c r="F104" s="3">
        <v>1</v>
      </c>
      <c r="G104" s="1">
        <f>A103+(B103*E104)+(C103*F104)</f>
        <v>-0.61405616782302763</v>
      </c>
      <c r="H104" s="1">
        <f t="shared" ref="H104:H105" si="73">1/(1+EXP(-G104))</f>
        <v>0.35113448736465591</v>
      </c>
      <c r="I104" s="10">
        <f>($C$5-H104)^2</f>
        <v>0.1232954282168397</v>
      </c>
      <c r="J104" s="1">
        <f>2*(H104-$C$5)</f>
        <v>0.70226897472931182</v>
      </c>
      <c r="K104" s="10">
        <f t="shared" ref="K104:K106" si="74" xml:space="preserve"> EXP(-G104)/POWER(1+EXP(-G104),2)</f>
        <v>0.22783905914781624</v>
      </c>
      <c r="L104" s="1">
        <v>1</v>
      </c>
      <c r="M104" s="1">
        <f t="shared" ref="M104:M106" si="75">E104</f>
        <v>0</v>
      </c>
      <c r="N104" s="10">
        <f t="shared" ref="N104:N106" si="76">F104</f>
        <v>1</v>
      </c>
      <c r="O104" s="1">
        <f t="shared" ref="O104:O106" si="77">J104*K104*L104</f>
        <v>0.16000430247102795</v>
      </c>
      <c r="P104" s="1">
        <f t="shared" ref="P104:P106" si="78">J104*K104*M104</f>
        <v>0</v>
      </c>
      <c r="Q104" s="1">
        <f t="shared" ref="Q104:Q106" si="79">J104*K104*N104</f>
        <v>0.16000430247102795</v>
      </c>
      <c r="R104" s="20"/>
      <c r="S104" s="21"/>
      <c r="T104" s="22"/>
    </row>
    <row r="105" spans="1:20" ht="15" thickBot="1" x14ac:dyDescent="0.35">
      <c r="A105" s="1"/>
      <c r="B105" s="1"/>
      <c r="C105" s="1"/>
      <c r="D105" s="1"/>
      <c r="E105" s="3">
        <v>1</v>
      </c>
      <c r="F105" s="3">
        <v>0</v>
      </c>
      <c r="G105" s="1">
        <f>A103+(B103*E105)+(C103*F105)</f>
        <v>-1.6099468952807792</v>
      </c>
      <c r="H105" s="1">
        <f t="shared" si="73"/>
        <v>0.16659598659780139</v>
      </c>
      <c r="I105" s="10">
        <f>($C$6-H105)^2</f>
        <v>2.7754222750494821E-2</v>
      </c>
      <c r="J105" s="1">
        <f>2*(H105-$C$6)</f>
        <v>0.33319197319560279</v>
      </c>
      <c r="K105" s="10">
        <f t="shared" si="74"/>
        <v>0.13884176384730657</v>
      </c>
      <c r="L105" s="1">
        <v>1</v>
      </c>
      <c r="M105" s="1">
        <f t="shared" si="75"/>
        <v>1</v>
      </c>
      <c r="N105" s="10">
        <f t="shared" si="76"/>
        <v>0</v>
      </c>
      <c r="O105" s="1">
        <f t="shared" si="77"/>
        <v>4.626096125824198E-2</v>
      </c>
      <c r="P105" s="1">
        <f t="shared" si="78"/>
        <v>4.626096125824198E-2</v>
      </c>
      <c r="Q105" s="1">
        <f t="shared" si="79"/>
        <v>0</v>
      </c>
      <c r="R105" s="20"/>
      <c r="S105" s="21"/>
      <c r="T105" s="22"/>
    </row>
    <row r="106" spans="1:20" ht="15" thickBot="1" x14ac:dyDescent="0.35">
      <c r="A106" s="1"/>
      <c r="B106" s="1"/>
      <c r="C106" s="1"/>
      <c r="D106" s="1"/>
      <c r="E106" s="3">
        <v>1</v>
      </c>
      <c r="F106" s="3">
        <v>1</v>
      </c>
      <c r="G106" s="1">
        <f>A103+(B103*E106)+(C103*F106)</f>
        <v>0.6529334785332499</v>
      </c>
      <c r="H106" s="1">
        <f>1/(1+EXP(-G106))</f>
        <v>0.65767121055123468</v>
      </c>
      <c r="I106" s="10">
        <f>($C$7-H106)^2</f>
        <v>0.1171890000854571</v>
      </c>
      <c r="J106" s="1">
        <f>2*(H106-$C$7)</f>
        <v>-0.68465757889753065</v>
      </c>
      <c r="K106" s="10">
        <f t="shared" si="74"/>
        <v>0.22513978936330817</v>
      </c>
      <c r="L106" s="1">
        <v>1</v>
      </c>
      <c r="M106" s="1">
        <f t="shared" si="75"/>
        <v>1</v>
      </c>
      <c r="N106" s="10">
        <f t="shared" si="76"/>
        <v>1</v>
      </c>
      <c r="O106" s="1">
        <f t="shared" si="77"/>
        <v>-0.15414366309898259</v>
      </c>
      <c r="P106" s="1">
        <f t="shared" si="78"/>
        <v>-0.15414366309898259</v>
      </c>
      <c r="Q106" s="1">
        <f t="shared" si="79"/>
        <v>-0.15414366309898259</v>
      </c>
      <c r="R106" s="20"/>
      <c r="S106" s="21"/>
      <c r="T106" s="22"/>
    </row>
    <row r="107" spans="1:20" ht="15" thickBot="1" x14ac:dyDescent="0.35">
      <c r="A107" s="1"/>
      <c r="B107" s="1"/>
      <c r="C107" s="1"/>
      <c r="D107" s="1"/>
      <c r="E107" s="1"/>
      <c r="F107" s="1"/>
      <c r="G107" s="1"/>
      <c r="H107" s="1"/>
      <c r="I107" s="10">
        <f>SUM(I103:I106)</f>
        <v>0.27108012946233812</v>
      </c>
      <c r="J107" s="1"/>
      <c r="K107" s="1"/>
      <c r="L107" s="1"/>
      <c r="M107" s="1"/>
      <c r="N107" s="1"/>
      <c r="O107" s="1">
        <f>AVERAGE(O103:O106)</f>
        <v>1.4375406120955538E-2</v>
      </c>
      <c r="P107" s="1">
        <f>AVERAGE(P103:P106)</f>
        <v>-2.6970675460185153E-2</v>
      </c>
      <c r="Q107" s="1">
        <f>AVERAGE(Q103:Q106)</f>
        <v>1.4651598430113419E-3</v>
      </c>
      <c r="R107" s="20"/>
      <c r="S107" s="21"/>
      <c r="T107" s="22"/>
    </row>
    <row r="108" spans="1:20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20"/>
      <c r="S108" s="21"/>
      <c r="T108" s="22"/>
    </row>
    <row r="109" spans="1:20" ht="15" thickBot="1" x14ac:dyDescent="0.35">
      <c r="A109" s="1" t="s">
        <v>27</v>
      </c>
      <c r="B109" s="3">
        <v>11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20"/>
      <c r="S109" s="21"/>
      <c r="T109" s="22"/>
    </row>
    <row r="110" spans="1:20" ht="15" thickBot="1" x14ac:dyDescent="0.35">
      <c r="A110" s="8" t="s">
        <v>7</v>
      </c>
      <c r="B110" s="20" t="s">
        <v>8</v>
      </c>
      <c r="C110" s="22"/>
      <c r="D110" s="1"/>
      <c r="E110" s="20" t="s">
        <v>9</v>
      </c>
      <c r="F110" s="22"/>
      <c r="G110" s="7"/>
      <c r="H110" s="8" t="s">
        <v>10</v>
      </c>
      <c r="I110" s="9" t="s">
        <v>11</v>
      </c>
      <c r="J110" s="1"/>
      <c r="K110" s="10"/>
      <c r="L110" s="23" t="s">
        <v>12</v>
      </c>
      <c r="M110" s="16"/>
      <c r="N110" s="24"/>
      <c r="O110" s="25" t="s">
        <v>13</v>
      </c>
      <c r="P110" s="26"/>
      <c r="Q110" s="27"/>
      <c r="R110" s="20"/>
      <c r="S110" s="21"/>
      <c r="T110" s="22"/>
    </row>
    <row r="111" spans="1:20" ht="15" thickBot="1" x14ac:dyDescent="0.35">
      <c r="A111" s="11" t="s">
        <v>14</v>
      </c>
      <c r="B111" s="11" t="s">
        <v>15</v>
      </c>
      <c r="C111" s="11" t="s">
        <v>16</v>
      </c>
      <c r="D111" s="4"/>
      <c r="E111" s="11" t="s">
        <v>17</v>
      </c>
      <c r="F111" s="11" t="s">
        <v>18</v>
      </c>
      <c r="G111" s="11" t="s">
        <v>19</v>
      </c>
      <c r="H111" s="11" t="s">
        <v>20</v>
      </c>
      <c r="I111" s="12" t="s">
        <v>21</v>
      </c>
      <c r="J111" s="13" t="s">
        <v>22</v>
      </c>
      <c r="K111" s="14" t="s">
        <v>23</v>
      </c>
      <c r="L111" s="13" t="s">
        <v>24</v>
      </c>
      <c r="M111" s="13" t="s">
        <v>25</v>
      </c>
      <c r="N111" s="14" t="s">
        <v>26</v>
      </c>
      <c r="O111" s="13" t="s">
        <v>24</v>
      </c>
      <c r="P111" s="13" t="s">
        <v>25</v>
      </c>
      <c r="Q111" s="13" t="s">
        <v>26</v>
      </c>
      <c r="R111" s="20"/>
      <c r="S111" s="21"/>
      <c r="T111" s="22"/>
    </row>
    <row r="112" spans="1:20" ht="15" thickBot="1" x14ac:dyDescent="0.35">
      <c r="A112" s="1">
        <f>A103-$C$9*O107</f>
        <v>-3.0206906028466118</v>
      </c>
      <c r="B112" s="1">
        <f>B103-$C$9*P107</f>
        <v>1.536696400958129</v>
      </c>
      <c r="C112" s="1">
        <f>C103-$C$9*Q107</f>
        <v>2.2482287753839159</v>
      </c>
      <c r="D112" s="1"/>
      <c r="E112" s="3">
        <v>0</v>
      </c>
      <c r="F112" s="3">
        <v>0</v>
      </c>
      <c r="G112" s="1">
        <f>A112+(B112*E112)+(C112*F112)</f>
        <v>-3.0206906028466118</v>
      </c>
      <c r="H112" s="1">
        <f>1/(1+EXP(-G112))</f>
        <v>4.6499845243786801E-2</v>
      </c>
      <c r="I112" s="10">
        <f>($C$4-H112)^2</f>
        <v>2.1622356076961219E-3</v>
      </c>
      <c r="J112" s="1">
        <f>2*(H112-$C$4)</f>
        <v>9.2999690487573602E-2</v>
      </c>
      <c r="K112" s="10">
        <f xml:space="preserve"> EXP(-G112)/POWER(1+EXP(-G112),2)</f>
        <v>4.433760963609068E-2</v>
      </c>
      <c r="L112" s="1">
        <v>1</v>
      </c>
      <c r="M112" s="1">
        <f>E112</f>
        <v>0</v>
      </c>
      <c r="N112" s="10">
        <f>F112</f>
        <v>0</v>
      </c>
      <c r="O112" s="1">
        <f>J112*K112*L112</f>
        <v>4.1233839731152945E-3</v>
      </c>
      <c r="P112" s="1">
        <f>J112*K112*M112</f>
        <v>0</v>
      </c>
      <c r="Q112" s="1">
        <f>J112*K112*N112</f>
        <v>0</v>
      </c>
      <c r="R112" s="20"/>
      <c r="S112" s="21"/>
      <c r="T112" s="22"/>
    </row>
    <row r="113" spans="1:20" ht="15" thickBot="1" x14ac:dyDescent="0.35">
      <c r="A113" s="1"/>
      <c r="B113" s="1"/>
      <c r="C113" s="1"/>
      <c r="D113" s="1"/>
      <c r="E113" s="3">
        <v>0</v>
      </c>
      <c r="F113" s="3">
        <v>1</v>
      </c>
      <c r="G113" s="1">
        <f>A112+(B112*E113)+(C112*F113)</f>
        <v>-0.77246182746269598</v>
      </c>
      <c r="H113" s="1">
        <f t="shared" ref="H113:H114" si="80">1/(1+EXP(-G113))</f>
        <v>0.31594680430730854</v>
      </c>
      <c r="I113" s="10">
        <f>($C$5-H113)^2</f>
        <v>9.9822383152000718E-2</v>
      </c>
      <c r="J113" s="1">
        <f>2*(H113-$C$5)</f>
        <v>0.63189360861461707</v>
      </c>
      <c r="K113" s="10">
        <f t="shared" ref="K113:K115" si="81" xml:space="preserve"> EXP(-G113)/POWER(1+EXP(-G113),2)</f>
        <v>0.21612442115530783</v>
      </c>
      <c r="L113" s="1">
        <v>1</v>
      </c>
      <c r="M113" s="1">
        <f t="shared" ref="M113:M115" si="82">E113</f>
        <v>0</v>
      </c>
      <c r="N113" s="10">
        <f t="shared" ref="N113:N115" si="83">F113</f>
        <v>1</v>
      </c>
      <c r="O113" s="1">
        <f t="shared" ref="O113:O115" si="84">J113*K113*L113</f>
        <v>0.13656764039357275</v>
      </c>
      <c r="P113" s="1">
        <f t="shared" ref="P113:P115" si="85">J113*K113*M113</f>
        <v>0</v>
      </c>
      <c r="Q113" s="1">
        <f t="shared" ref="Q113:Q115" si="86">J113*K113*N113</f>
        <v>0.13656764039357275</v>
      </c>
      <c r="R113" s="20"/>
      <c r="S113" s="21"/>
      <c r="T113" s="22"/>
    </row>
    <row r="114" spans="1:20" ht="15" thickBot="1" x14ac:dyDescent="0.35">
      <c r="A114" s="1"/>
      <c r="B114" s="1"/>
      <c r="C114" s="1"/>
      <c r="D114" s="1"/>
      <c r="E114" s="3">
        <v>1</v>
      </c>
      <c r="F114" s="3">
        <v>0</v>
      </c>
      <c r="G114" s="1">
        <f>A112+(B112*E114)+(C112*F114)</f>
        <v>-1.4839942018884829</v>
      </c>
      <c r="H114" s="1">
        <f t="shared" si="80"/>
        <v>0.18482487657334129</v>
      </c>
      <c r="I114" s="10">
        <f>($C$6-H114)^2</f>
        <v>3.4160235000350841E-2</v>
      </c>
      <c r="J114" s="1">
        <f>2*(H114-$C$6)</f>
        <v>0.36964975314668258</v>
      </c>
      <c r="K114" s="10">
        <f t="shared" si="81"/>
        <v>0.15066464157299045</v>
      </c>
      <c r="L114" s="1">
        <v>1</v>
      </c>
      <c r="M114" s="1">
        <f t="shared" si="82"/>
        <v>1</v>
      </c>
      <c r="N114" s="10">
        <f t="shared" si="83"/>
        <v>0</v>
      </c>
      <c r="O114" s="1">
        <f t="shared" si="84"/>
        <v>5.5693147565389331E-2</v>
      </c>
      <c r="P114" s="1">
        <f t="shared" si="85"/>
        <v>5.5693147565389331E-2</v>
      </c>
      <c r="Q114" s="1">
        <f t="shared" si="86"/>
        <v>0</v>
      </c>
      <c r="R114" s="20"/>
      <c r="S114" s="21"/>
      <c r="T114" s="22"/>
    </row>
    <row r="115" spans="1:20" ht="15" thickBot="1" x14ac:dyDescent="0.35">
      <c r="A115" s="1"/>
      <c r="B115" s="1"/>
      <c r="C115" s="1"/>
      <c r="D115" s="1"/>
      <c r="E115" s="3">
        <v>1</v>
      </c>
      <c r="F115" s="3">
        <v>1</v>
      </c>
      <c r="G115" s="1">
        <f>A112+(B112*E115)+(C112*F115)</f>
        <v>0.764234573495433</v>
      </c>
      <c r="H115" s="1">
        <f>1/(1+EXP(-G115))</f>
        <v>0.6822723986599939</v>
      </c>
      <c r="I115" s="10">
        <f>($C$7-H115)^2</f>
        <v>0.10095082865327384</v>
      </c>
      <c r="J115" s="1">
        <f>2*(H115-$C$7)</f>
        <v>-0.63545520268001221</v>
      </c>
      <c r="K115" s="10">
        <f t="shared" si="81"/>
        <v>0.21677677268673229</v>
      </c>
      <c r="L115" s="1">
        <v>1</v>
      </c>
      <c r="M115" s="1">
        <f t="shared" si="82"/>
        <v>1</v>
      </c>
      <c r="N115" s="10">
        <f t="shared" si="83"/>
        <v>1</v>
      </c>
      <c r="O115" s="1">
        <f t="shared" si="84"/>
        <v>-0.13775192802396641</v>
      </c>
      <c r="P115" s="1">
        <f t="shared" si="85"/>
        <v>-0.13775192802396641</v>
      </c>
      <c r="Q115" s="1">
        <f t="shared" si="86"/>
        <v>-0.13775192802396641</v>
      </c>
      <c r="R115" s="20"/>
      <c r="S115" s="21"/>
      <c r="T115" s="22"/>
    </row>
    <row r="116" spans="1:20" ht="15" thickBot="1" x14ac:dyDescent="0.35">
      <c r="A116" s="1"/>
      <c r="B116" s="1"/>
      <c r="C116" s="1"/>
      <c r="D116" s="1"/>
      <c r="E116" s="1"/>
      <c r="F116" s="1"/>
      <c r="G116" s="1"/>
      <c r="H116" s="1"/>
      <c r="I116" s="10">
        <f>SUM(I112:I115)</f>
        <v>0.23709568241332155</v>
      </c>
      <c r="J116" s="1"/>
      <c r="K116" s="1"/>
      <c r="L116" s="1"/>
      <c r="M116" s="1"/>
      <c r="N116" s="1"/>
      <c r="O116" s="1">
        <f>AVERAGE(O112:O115)</f>
        <v>1.4658060977027737E-2</v>
      </c>
      <c r="P116" s="1">
        <f>AVERAGE(P112:P115)</f>
        <v>-2.0514695114644269E-2</v>
      </c>
      <c r="Q116" s="1">
        <f>AVERAGE(Q112:Q115)</f>
        <v>-2.9607190759841501E-4</v>
      </c>
      <c r="R116" s="20"/>
      <c r="S116" s="21"/>
      <c r="T116" s="22"/>
    </row>
    <row r="117" spans="1:20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0"/>
      <c r="S117" s="21"/>
      <c r="T117" s="22"/>
    </row>
    <row r="118" spans="1:20" ht="15" thickBot="1" x14ac:dyDescent="0.35">
      <c r="A118" s="1" t="s">
        <v>27</v>
      </c>
      <c r="B118" s="3">
        <v>12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0"/>
      <c r="S118" s="21"/>
      <c r="T118" s="22"/>
    </row>
    <row r="119" spans="1:20" ht="15" thickBot="1" x14ac:dyDescent="0.35">
      <c r="A119" s="8" t="s">
        <v>7</v>
      </c>
      <c r="B119" s="20" t="s">
        <v>8</v>
      </c>
      <c r="C119" s="22"/>
      <c r="D119" s="1"/>
      <c r="E119" s="20" t="s">
        <v>9</v>
      </c>
      <c r="F119" s="22"/>
      <c r="G119" s="7"/>
      <c r="H119" s="8" t="s">
        <v>10</v>
      </c>
      <c r="I119" s="9" t="s">
        <v>11</v>
      </c>
      <c r="J119" s="1"/>
      <c r="K119" s="10"/>
      <c r="L119" s="23" t="s">
        <v>12</v>
      </c>
      <c r="M119" s="16"/>
      <c r="N119" s="24"/>
      <c r="O119" s="25" t="s">
        <v>13</v>
      </c>
      <c r="P119" s="26"/>
      <c r="Q119" s="27"/>
      <c r="R119" s="20"/>
      <c r="S119" s="21"/>
      <c r="T119" s="22"/>
    </row>
    <row r="120" spans="1:20" ht="15" thickBot="1" x14ac:dyDescent="0.35">
      <c r="A120" s="11" t="s">
        <v>14</v>
      </c>
      <c r="B120" s="11" t="s">
        <v>15</v>
      </c>
      <c r="C120" s="11" t="s">
        <v>16</v>
      </c>
      <c r="D120" s="4"/>
      <c r="E120" s="11" t="s">
        <v>17</v>
      </c>
      <c r="F120" s="11" t="s">
        <v>18</v>
      </c>
      <c r="G120" s="11" t="s">
        <v>19</v>
      </c>
      <c r="H120" s="11" t="s">
        <v>20</v>
      </c>
      <c r="I120" s="12" t="s">
        <v>21</v>
      </c>
      <c r="J120" s="13" t="s">
        <v>22</v>
      </c>
      <c r="K120" s="14" t="s">
        <v>23</v>
      </c>
      <c r="L120" s="13" t="s">
        <v>24</v>
      </c>
      <c r="M120" s="13" t="s">
        <v>25</v>
      </c>
      <c r="N120" s="14" t="s">
        <v>26</v>
      </c>
      <c r="O120" s="13" t="s">
        <v>24</v>
      </c>
      <c r="P120" s="13" t="s">
        <v>25</v>
      </c>
      <c r="Q120" s="13" t="s">
        <v>26</v>
      </c>
      <c r="R120" s="20"/>
      <c r="S120" s="21"/>
      <c r="T120" s="22"/>
    </row>
    <row r="121" spans="1:20" ht="15" thickBot="1" x14ac:dyDescent="0.35">
      <c r="A121" s="1">
        <f>A112-$C$9*O116</f>
        <v>-3.1672712126168894</v>
      </c>
      <c r="B121" s="1">
        <f>B112-$C$9*P116</f>
        <v>1.7418433521045718</v>
      </c>
      <c r="C121" s="1">
        <f>C112-$C$9*Q116</f>
        <v>2.2511894944598998</v>
      </c>
      <c r="D121" s="1"/>
      <c r="E121" s="3">
        <v>0</v>
      </c>
      <c r="F121" s="3">
        <v>0</v>
      </c>
      <c r="G121" s="1">
        <f>A121+(B121*E121)+(C121*F121)</f>
        <v>-3.1672712126168894</v>
      </c>
      <c r="H121" s="1">
        <f>1/(1+EXP(-G121))</f>
        <v>4.041611240855255E-2</v>
      </c>
      <c r="I121" s="10">
        <f>($C$4-H121)^2</f>
        <v>1.6334621422207554E-3</v>
      </c>
      <c r="J121" s="1">
        <f>2*(H121-$C$4)</f>
        <v>8.08322248171051E-2</v>
      </c>
      <c r="K121" s="10">
        <f xml:space="preserve"> EXP(-G121)/POWER(1+EXP(-G121),2)</f>
        <v>3.8782650266331799E-2</v>
      </c>
      <c r="L121" s="1">
        <v>1</v>
      </c>
      <c r="M121" s="1">
        <f>E121</f>
        <v>0</v>
      </c>
      <c r="N121" s="10">
        <f>F121</f>
        <v>0</v>
      </c>
      <c r="O121" s="1">
        <f>J121*K121*L121</f>
        <v>3.1348879053312928E-3</v>
      </c>
      <c r="P121" s="1">
        <f>J121*K121*M121</f>
        <v>0</v>
      </c>
      <c r="Q121" s="1">
        <f>J121*K121*N121</f>
        <v>0</v>
      </c>
      <c r="R121" s="20"/>
      <c r="S121" s="21"/>
      <c r="T121" s="22"/>
    </row>
    <row r="122" spans="1:20" ht="15" thickBot="1" x14ac:dyDescent="0.35">
      <c r="A122" s="1"/>
      <c r="B122" s="1"/>
      <c r="C122" s="1"/>
      <c r="D122" s="1"/>
      <c r="E122" s="3">
        <v>0</v>
      </c>
      <c r="F122" s="3">
        <v>1</v>
      </c>
      <c r="G122" s="1">
        <f>A121+(B121*E122)+(C121*F122)</f>
        <v>-0.91608171815698958</v>
      </c>
      <c r="H122" s="1">
        <f t="shared" ref="H122:H123" si="87">1/(1+EXP(-G122))</f>
        <v>0.28575694348536057</v>
      </c>
      <c r="I122" s="10">
        <f>($C$5-H122)^2</f>
        <v>8.1657030750095561E-2</v>
      </c>
      <c r="J122" s="1">
        <f>2*(H122-$C$5)</f>
        <v>0.57151388697072114</v>
      </c>
      <c r="K122" s="10">
        <f t="shared" ref="K122:K124" si="88" xml:space="preserve"> EXP(-G122)/POWER(1+EXP(-G122),2)</f>
        <v>0.20409991273526504</v>
      </c>
      <c r="L122" s="1">
        <v>1</v>
      </c>
      <c r="M122" s="1">
        <f t="shared" ref="M122:M124" si="89">E122</f>
        <v>0</v>
      </c>
      <c r="N122" s="10">
        <f t="shared" ref="N122:N124" si="90">F122</f>
        <v>1</v>
      </c>
      <c r="O122" s="1">
        <f t="shared" ref="O122:O124" si="91">J122*K122*L122</f>
        <v>0.11664593445771632</v>
      </c>
      <c r="P122" s="1">
        <f t="shared" ref="P122:P124" si="92">J122*K122*M122</f>
        <v>0</v>
      </c>
      <c r="Q122" s="1">
        <f t="shared" ref="Q122:Q124" si="93">J122*K122*N122</f>
        <v>0.11664593445771632</v>
      </c>
      <c r="R122" s="20"/>
      <c r="S122" s="21"/>
      <c r="T122" s="22"/>
    </row>
    <row r="123" spans="1:20" ht="15" thickBot="1" x14ac:dyDescent="0.35">
      <c r="A123" s="1"/>
      <c r="B123" s="1"/>
      <c r="C123" s="1"/>
      <c r="D123" s="1"/>
      <c r="E123" s="3">
        <v>1</v>
      </c>
      <c r="F123" s="3">
        <v>0</v>
      </c>
      <c r="G123" s="1">
        <f>A121+(B121*E123)+(C121*F123)</f>
        <v>-1.4254278605123176</v>
      </c>
      <c r="H123" s="1">
        <f t="shared" si="87"/>
        <v>0.19381207630753858</v>
      </c>
      <c r="I123" s="10">
        <f>($C$6-H123)^2</f>
        <v>3.7563120922639158E-2</v>
      </c>
      <c r="J123" s="1">
        <f>2*(H123-$C$6)</f>
        <v>0.38762415261507716</v>
      </c>
      <c r="K123" s="10">
        <f t="shared" si="88"/>
        <v>0.15624895538489941</v>
      </c>
      <c r="L123" s="1">
        <v>1</v>
      </c>
      <c r="M123" s="1">
        <f t="shared" si="89"/>
        <v>1</v>
      </c>
      <c r="N123" s="10">
        <f t="shared" si="90"/>
        <v>0</v>
      </c>
      <c r="O123" s="1">
        <f t="shared" si="91"/>
        <v>6.0565868928062629E-2</v>
      </c>
      <c r="P123" s="1">
        <f t="shared" si="92"/>
        <v>6.0565868928062629E-2</v>
      </c>
      <c r="Q123" s="1">
        <f t="shared" si="93"/>
        <v>0</v>
      </c>
      <c r="R123" s="20"/>
      <c r="S123" s="21"/>
      <c r="T123" s="22"/>
    </row>
    <row r="124" spans="1:20" ht="15" thickBot="1" x14ac:dyDescent="0.35">
      <c r="A124" s="1"/>
      <c r="B124" s="1"/>
      <c r="C124" s="1"/>
      <c r="D124" s="1"/>
      <c r="E124" s="3">
        <v>1</v>
      </c>
      <c r="F124" s="3">
        <v>1</v>
      </c>
      <c r="G124" s="1">
        <f>A121+(B121*E124)+(C121*F124)</f>
        <v>0.82576163394758217</v>
      </c>
      <c r="H124" s="1">
        <f>1/(1+EXP(-G124))</f>
        <v>0.69545800450919781</v>
      </c>
      <c r="I124" s="10">
        <f>($C$7-H124)^2</f>
        <v>9.274582701751978E-2</v>
      </c>
      <c r="J124" s="1">
        <f>2*(H124-$C$7)</f>
        <v>-0.60908399098160437</v>
      </c>
      <c r="K124" s="10">
        <f t="shared" si="88"/>
        <v>0.21179616847328239</v>
      </c>
      <c r="L124" s="1">
        <v>1</v>
      </c>
      <c r="M124" s="1">
        <f t="shared" si="89"/>
        <v>1</v>
      </c>
      <c r="N124" s="10">
        <f t="shared" si="90"/>
        <v>1</v>
      </c>
      <c r="O124" s="1">
        <f t="shared" si="91"/>
        <v>-0.12900165556831911</v>
      </c>
      <c r="P124" s="1">
        <f t="shared" si="92"/>
        <v>-0.12900165556831911</v>
      </c>
      <c r="Q124" s="1">
        <f t="shared" si="93"/>
        <v>-0.12900165556831911</v>
      </c>
      <c r="R124" s="20"/>
      <c r="S124" s="21"/>
      <c r="T124" s="22"/>
    </row>
    <row r="125" spans="1:20" ht="15" thickBot="1" x14ac:dyDescent="0.35">
      <c r="A125" s="1"/>
      <c r="B125" s="1"/>
      <c r="C125" s="1"/>
      <c r="D125" s="1"/>
      <c r="E125" s="1"/>
      <c r="F125" s="1"/>
      <c r="G125" s="1"/>
      <c r="H125" s="1"/>
      <c r="I125" s="10">
        <f>SUM(I121:I124)</f>
        <v>0.21359944083247523</v>
      </c>
      <c r="J125" s="1"/>
      <c r="K125" s="1"/>
      <c r="L125" s="1"/>
      <c r="M125" s="1"/>
      <c r="N125" s="1"/>
      <c r="O125" s="1">
        <f>AVERAGE(O121:O124)</f>
        <v>1.2836258930697786E-2</v>
      </c>
      <c r="P125" s="1">
        <f>AVERAGE(P121:P124)</f>
        <v>-1.7108946660064121E-2</v>
      </c>
      <c r="Q125" s="1">
        <f>AVERAGE(Q121:Q124)</f>
        <v>-3.0889302776506977E-3</v>
      </c>
      <c r="R125" s="20"/>
      <c r="S125" s="21"/>
      <c r="T125" s="22"/>
    </row>
    <row r="126" spans="1:20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0"/>
      <c r="S126" s="21"/>
      <c r="T126" s="22"/>
    </row>
    <row r="127" spans="1:20" ht="15" thickBot="1" x14ac:dyDescent="0.35">
      <c r="A127" s="1" t="s">
        <v>27</v>
      </c>
      <c r="B127" s="3">
        <v>13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20"/>
      <c r="S127" s="21"/>
      <c r="T127" s="22"/>
    </row>
    <row r="128" spans="1:20" ht="15" thickBot="1" x14ac:dyDescent="0.35">
      <c r="A128" s="8" t="s">
        <v>7</v>
      </c>
      <c r="B128" s="20" t="s">
        <v>8</v>
      </c>
      <c r="C128" s="22"/>
      <c r="D128" s="1"/>
      <c r="E128" s="20" t="s">
        <v>9</v>
      </c>
      <c r="F128" s="22"/>
      <c r="G128" s="7"/>
      <c r="H128" s="8" t="s">
        <v>10</v>
      </c>
      <c r="I128" s="9" t="s">
        <v>11</v>
      </c>
      <c r="J128" s="1"/>
      <c r="K128" s="10"/>
      <c r="L128" s="23" t="s">
        <v>12</v>
      </c>
      <c r="M128" s="16"/>
      <c r="N128" s="24"/>
      <c r="O128" s="25" t="s">
        <v>13</v>
      </c>
      <c r="P128" s="26"/>
      <c r="Q128" s="27"/>
      <c r="R128" s="20"/>
      <c r="S128" s="21"/>
      <c r="T128" s="22"/>
    </row>
    <row r="129" spans="1:20" ht="15" thickBot="1" x14ac:dyDescent="0.35">
      <c r="A129" s="11" t="s">
        <v>14</v>
      </c>
      <c r="B129" s="11" t="s">
        <v>15</v>
      </c>
      <c r="C129" s="11" t="s">
        <v>16</v>
      </c>
      <c r="D129" s="4"/>
      <c r="E129" s="11" t="s">
        <v>17</v>
      </c>
      <c r="F129" s="11" t="s">
        <v>18</v>
      </c>
      <c r="G129" s="11" t="s">
        <v>19</v>
      </c>
      <c r="H129" s="11" t="s">
        <v>20</v>
      </c>
      <c r="I129" s="12" t="s">
        <v>21</v>
      </c>
      <c r="J129" s="13" t="s">
        <v>22</v>
      </c>
      <c r="K129" s="14" t="s">
        <v>23</v>
      </c>
      <c r="L129" s="13" t="s">
        <v>24</v>
      </c>
      <c r="M129" s="13" t="s">
        <v>25</v>
      </c>
      <c r="N129" s="14" t="s">
        <v>26</v>
      </c>
      <c r="O129" s="13" t="s">
        <v>24</v>
      </c>
      <c r="P129" s="13" t="s">
        <v>25</v>
      </c>
      <c r="Q129" s="13" t="s">
        <v>26</v>
      </c>
      <c r="R129" s="20"/>
      <c r="S129" s="21"/>
      <c r="T129" s="22"/>
    </row>
    <row r="130" spans="1:20" ht="15" thickBot="1" x14ac:dyDescent="0.35">
      <c r="A130" s="1">
        <f>A121-$C$9*O125</f>
        <v>-3.2956338019238673</v>
      </c>
      <c r="B130" s="1">
        <f>B121-$C$9*P125</f>
        <v>1.912932818705213</v>
      </c>
      <c r="C130" s="1">
        <f>C121-$C$9*Q125</f>
        <v>2.2820787972364069</v>
      </c>
      <c r="D130" s="1"/>
      <c r="E130" s="3">
        <v>0</v>
      </c>
      <c r="F130" s="3">
        <v>0</v>
      </c>
      <c r="G130" s="1">
        <f>A130+(B130*E130)+(C130*F130)</f>
        <v>-3.2956338019238673</v>
      </c>
      <c r="H130" s="1">
        <f>1/(1+EXP(-G130))</f>
        <v>3.5721279651929588E-2</v>
      </c>
      <c r="I130" s="10">
        <f>($C$4-H130)^2</f>
        <v>1.2760098199713589E-3</v>
      </c>
      <c r="J130" s="1">
        <f>2*(H130-$C$4)</f>
        <v>7.1442559303859177E-2</v>
      </c>
      <c r="K130" s="10">
        <f xml:space="preserve"> EXP(-G130)/POWER(1+EXP(-G130),2)</f>
        <v>3.4445269831958232E-2</v>
      </c>
      <c r="L130" s="1">
        <v>1</v>
      </c>
      <c r="M130" s="1">
        <f>E130</f>
        <v>0</v>
      </c>
      <c r="N130" s="10">
        <f>F130</f>
        <v>0</v>
      </c>
      <c r="O130" s="1">
        <f>J130*K130*L130</f>
        <v>2.4608582327071073E-3</v>
      </c>
      <c r="P130" s="1">
        <f>J130*K130*M130</f>
        <v>0</v>
      </c>
      <c r="Q130" s="1">
        <f>J130*K130*N130</f>
        <v>0</v>
      </c>
      <c r="R130" s="20"/>
      <c r="S130" s="21"/>
      <c r="T130" s="22"/>
    </row>
    <row r="131" spans="1:20" ht="15" thickBot="1" x14ac:dyDescent="0.35">
      <c r="A131" s="1"/>
      <c r="B131" s="1"/>
      <c r="C131" s="1"/>
      <c r="D131" s="1"/>
      <c r="E131" s="3">
        <v>0</v>
      </c>
      <c r="F131" s="3">
        <v>1</v>
      </c>
      <c r="G131" s="1">
        <f>A130+(B130*E131)+(C130*F131)</f>
        <v>-1.0135550046874604</v>
      </c>
      <c r="H131" s="1">
        <f t="shared" ref="H131:H132" si="94">1/(1+EXP(-G131))</f>
        <v>0.26628470720057218</v>
      </c>
      <c r="I131" s="10">
        <f>($C$5-H131)^2</f>
        <v>7.0907545288894452E-2</v>
      </c>
      <c r="J131" s="1">
        <f>2*(H131-$C$5)</f>
        <v>0.53256941440114436</v>
      </c>
      <c r="K131" s="10">
        <f t="shared" ref="K131:K133" si="95" xml:space="preserve"> EXP(-G131)/POWER(1+EXP(-G131),2)</f>
        <v>0.19537716191167773</v>
      </c>
      <c r="L131" s="1">
        <v>1</v>
      </c>
      <c r="M131" s="1">
        <f t="shared" ref="M131:M133" si="96">E131</f>
        <v>0</v>
      </c>
      <c r="N131" s="10">
        <f t="shared" ref="N131:N133" si="97">F131</f>
        <v>1</v>
      </c>
      <c r="O131" s="1">
        <f t="shared" ref="O131:O133" si="98">J131*K131*L131</f>
        <v>0.10405190070665978</v>
      </c>
      <c r="P131" s="1">
        <f t="shared" ref="P131:P133" si="99">J131*K131*M131</f>
        <v>0</v>
      </c>
      <c r="Q131" s="1">
        <f t="shared" ref="Q131:Q133" si="100">J131*K131*N131</f>
        <v>0.10405190070665978</v>
      </c>
      <c r="R131" s="20"/>
      <c r="S131" s="21"/>
      <c r="T131" s="22"/>
    </row>
    <row r="132" spans="1:20" ht="15" thickBot="1" x14ac:dyDescent="0.35">
      <c r="A132" s="1"/>
      <c r="B132" s="1"/>
      <c r="C132" s="1"/>
      <c r="D132" s="1"/>
      <c r="E132" s="3">
        <v>1</v>
      </c>
      <c r="F132" s="3">
        <v>0</v>
      </c>
      <c r="G132" s="1">
        <f>A130+(B130*E132)+(C130*F132)</f>
        <v>-1.3827009832186543</v>
      </c>
      <c r="H132" s="1">
        <f t="shared" si="94"/>
        <v>0.20057556030658352</v>
      </c>
      <c r="I132" s="10">
        <f>($C$6-H132)^2</f>
        <v>4.0230555392299923E-2</v>
      </c>
      <c r="J132" s="1">
        <f>2*(H132-$C$6)</f>
        <v>0.40115112061316704</v>
      </c>
      <c r="K132" s="10">
        <f t="shared" si="95"/>
        <v>0.16034500491428361</v>
      </c>
      <c r="L132" s="1">
        <v>1</v>
      </c>
      <c r="M132" s="1">
        <f t="shared" si="96"/>
        <v>1</v>
      </c>
      <c r="N132" s="10">
        <f t="shared" si="97"/>
        <v>0</v>
      </c>
      <c r="O132" s="1">
        <f t="shared" si="98"/>
        <v>6.432257840608864E-2</v>
      </c>
      <c r="P132" s="1">
        <f t="shared" si="99"/>
        <v>6.432257840608864E-2</v>
      </c>
      <c r="Q132" s="1">
        <f t="shared" si="100"/>
        <v>0</v>
      </c>
      <c r="R132" s="20"/>
      <c r="S132" s="21"/>
      <c r="T132" s="22"/>
    </row>
    <row r="133" spans="1:20" ht="15" thickBot="1" x14ac:dyDescent="0.35">
      <c r="A133" s="1"/>
      <c r="B133" s="1"/>
      <c r="C133" s="1"/>
      <c r="D133" s="1"/>
      <c r="E133" s="3">
        <v>1</v>
      </c>
      <c r="F133" s="3">
        <v>1</v>
      </c>
      <c r="G133" s="1">
        <f>A130+(B130*E133)+(C130*F133)</f>
        <v>0.89937781401775263</v>
      </c>
      <c r="H133" s="1">
        <f>1/(1+EXP(-G133))</f>
        <v>0.71082162643482594</v>
      </c>
      <c r="I133" s="10">
        <f>($C$7-H133)^2</f>
        <v>8.3624131737799368E-2</v>
      </c>
      <c r="J133" s="1">
        <f>2*(H133-$C$7)</f>
        <v>-0.57835674713034813</v>
      </c>
      <c r="K133" s="10">
        <f t="shared" si="95"/>
        <v>0.2055542418273747</v>
      </c>
      <c r="L133" s="1">
        <v>1</v>
      </c>
      <c r="M133" s="1">
        <f t="shared" si="96"/>
        <v>1</v>
      </c>
      <c r="N133" s="10">
        <f t="shared" si="97"/>
        <v>1</v>
      </c>
      <c r="O133" s="1">
        <f t="shared" si="98"/>
        <v>-0.11888368266212537</v>
      </c>
      <c r="P133" s="1">
        <f t="shared" si="99"/>
        <v>-0.11888368266212537</v>
      </c>
      <c r="Q133" s="1">
        <f t="shared" si="100"/>
        <v>-0.11888368266212537</v>
      </c>
      <c r="R133" s="20"/>
      <c r="S133" s="21"/>
      <c r="T133" s="22"/>
    </row>
    <row r="134" spans="1:20" ht="15" thickBot="1" x14ac:dyDescent="0.35">
      <c r="A134" s="1"/>
      <c r="B134" s="1"/>
      <c r="C134" s="1"/>
      <c r="D134" s="1"/>
      <c r="E134" s="1"/>
      <c r="F134" s="1"/>
      <c r="G134" s="1"/>
      <c r="H134" s="1"/>
      <c r="I134" s="10">
        <f>SUM(I130:I133)</f>
        <v>0.1960382422389651</v>
      </c>
      <c r="J134" s="1"/>
      <c r="K134" s="1"/>
      <c r="L134" s="1"/>
      <c r="M134" s="1"/>
      <c r="N134" s="1"/>
      <c r="O134" s="1">
        <f>AVERAGE(O130:O133)</f>
        <v>1.2987913670832539E-2</v>
      </c>
      <c r="P134" s="1">
        <f>AVERAGE(P130:P133)</f>
        <v>-1.3640276064009183E-2</v>
      </c>
      <c r="Q134" s="1">
        <f>AVERAGE(Q130:Q133)</f>
        <v>-3.7079454888663994E-3</v>
      </c>
      <c r="R134" s="20"/>
      <c r="S134" s="21"/>
      <c r="T134" s="22"/>
    </row>
    <row r="135" spans="1:20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0"/>
      <c r="S135" s="21"/>
      <c r="T135" s="22"/>
    </row>
    <row r="136" spans="1:20" ht="15" thickBot="1" x14ac:dyDescent="0.35">
      <c r="A136" s="1" t="s">
        <v>27</v>
      </c>
      <c r="B136" s="3">
        <v>14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0"/>
      <c r="S136" s="21"/>
      <c r="T136" s="22"/>
    </row>
    <row r="137" spans="1:20" ht="15" thickBot="1" x14ac:dyDescent="0.35">
      <c r="A137" s="8" t="s">
        <v>7</v>
      </c>
      <c r="B137" s="20" t="s">
        <v>8</v>
      </c>
      <c r="C137" s="22"/>
      <c r="D137" s="1"/>
      <c r="E137" s="20" t="s">
        <v>9</v>
      </c>
      <c r="F137" s="22"/>
      <c r="G137" s="7"/>
      <c r="H137" s="8" t="s">
        <v>10</v>
      </c>
      <c r="I137" s="9" t="s">
        <v>11</v>
      </c>
      <c r="J137" s="1"/>
      <c r="K137" s="10"/>
      <c r="L137" s="23" t="s">
        <v>12</v>
      </c>
      <c r="M137" s="16"/>
      <c r="N137" s="24"/>
      <c r="O137" s="25" t="s">
        <v>13</v>
      </c>
      <c r="P137" s="26"/>
      <c r="Q137" s="27"/>
      <c r="R137" s="20"/>
      <c r="S137" s="21"/>
      <c r="T137" s="22"/>
    </row>
    <row r="138" spans="1:20" ht="15" thickBot="1" x14ac:dyDescent="0.35">
      <c r="A138" s="11" t="s">
        <v>14</v>
      </c>
      <c r="B138" s="11" t="s">
        <v>15</v>
      </c>
      <c r="C138" s="11" t="s">
        <v>16</v>
      </c>
      <c r="D138" s="4"/>
      <c r="E138" s="11" t="s">
        <v>17</v>
      </c>
      <c r="F138" s="11" t="s">
        <v>18</v>
      </c>
      <c r="G138" s="11" t="s">
        <v>19</v>
      </c>
      <c r="H138" s="11" t="s">
        <v>20</v>
      </c>
      <c r="I138" s="12" t="s">
        <v>21</v>
      </c>
      <c r="J138" s="13" t="s">
        <v>22</v>
      </c>
      <c r="K138" s="14" t="s">
        <v>23</v>
      </c>
      <c r="L138" s="13" t="s">
        <v>24</v>
      </c>
      <c r="M138" s="13" t="s">
        <v>25</v>
      </c>
      <c r="N138" s="14" t="s">
        <v>26</v>
      </c>
      <c r="O138" s="13" t="s">
        <v>24</v>
      </c>
      <c r="P138" s="13" t="s">
        <v>25</v>
      </c>
      <c r="Q138" s="13" t="s">
        <v>26</v>
      </c>
      <c r="R138" s="20"/>
      <c r="S138" s="21"/>
      <c r="T138" s="22"/>
    </row>
    <row r="139" spans="1:20" ht="15" thickBot="1" x14ac:dyDescent="0.35">
      <c r="A139" s="1">
        <f>A130-$C$9*O134</f>
        <v>-3.4255129386321927</v>
      </c>
      <c r="B139" s="1">
        <f>B130-$C$9*P134</f>
        <v>2.0493355793453047</v>
      </c>
      <c r="C139" s="1">
        <f>C130-$C$9*Q134</f>
        <v>2.3191582521250709</v>
      </c>
      <c r="D139" s="1"/>
      <c r="E139" s="3">
        <v>0</v>
      </c>
      <c r="F139" s="3">
        <v>0</v>
      </c>
      <c r="G139" s="1">
        <f>A139+(B139*E139)+(C139*F139)</f>
        <v>-3.4255129386321927</v>
      </c>
      <c r="H139" s="1">
        <f>1/(1+EXP(-G139))</f>
        <v>3.1507566751798464E-2</v>
      </c>
      <c r="I139" s="10">
        <f>($C$4-H139)^2</f>
        <v>9.9272676261903605E-4</v>
      </c>
      <c r="J139" s="1">
        <f>2*(H139-$C$4)</f>
        <v>6.3015133503596929E-2</v>
      </c>
      <c r="K139" s="10">
        <f xml:space="preserve"> EXP(-G139)/POWER(1+EXP(-G139),2)</f>
        <v>3.0514839989179431E-2</v>
      </c>
      <c r="L139" s="1">
        <v>1</v>
      </c>
      <c r="M139" s="1">
        <f>E139</f>
        <v>0</v>
      </c>
      <c r="N139" s="10">
        <f>F139</f>
        <v>0</v>
      </c>
      <c r="O139" s="1">
        <f>J139*K139*L139</f>
        <v>1.92289671575904E-3</v>
      </c>
      <c r="P139" s="1">
        <f>J139*K139*M139</f>
        <v>0</v>
      </c>
      <c r="Q139" s="1">
        <f>J139*K139*N139</f>
        <v>0</v>
      </c>
      <c r="R139" s="20"/>
      <c r="S139" s="21"/>
      <c r="T139" s="22"/>
    </row>
    <row r="140" spans="1:20" ht="15" thickBot="1" x14ac:dyDescent="0.35">
      <c r="A140" s="1"/>
      <c r="B140" s="1"/>
      <c r="C140" s="1"/>
      <c r="D140" s="1"/>
      <c r="E140" s="3">
        <v>0</v>
      </c>
      <c r="F140" s="3">
        <v>1</v>
      </c>
      <c r="G140" s="1">
        <f>A139+(B139*E140)+(C139*F140)</f>
        <v>-1.1063546865071219</v>
      </c>
      <c r="H140" s="1">
        <f t="shared" ref="H140:H141" si="101">1/(1+EXP(-G140))</f>
        <v>0.24855111210956138</v>
      </c>
      <c r="I140" s="10">
        <f>($C$5-H140)^2</f>
        <v>6.1777655330899746E-2</v>
      </c>
      <c r="J140" s="1">
        <f>2*(H140-$C$5)</f>
        <v>0.49710222421912276</v>
      </c>
      <c r="K140" s="10">
        <f t="shared" ref="K140:K142" si="102" xml:space="preserve"> EXP(-G140)/POWER(1+EXP(-G140),2)</f>
        <v>0.18677345677866161</v>
      </c>
      <c r="L140" s="1">
        <v>1</v>
      </c>
      <c r="M140" s="1">
        <f t="shared" ref="M140:M142" si="103">E140</f>
        <v>0</v>
      </c>
      <c r="N140" s="10">
        <f t="shared" ref="N140:N142" si="104">F140</f>
        <v>1</v>
      </c>
      <c r="O140" s="1">
        <f t="shared" ref="O140:O142" si="105">J140*K140*L140</f>
        <v>9.2845500789766874E-2</v>
      </c>
      <c r="P140" s="1">
        <f t="shared" ref="P140:P142" si="106">J140*K140*M140</f>
        <v>0</v>
      </c>
      <c r="Q140" s="1">
        <f t="shared" ref="Q140:Q142" si="107">J140*K140*N140</f>
        <v>9.2845500789766874E-2</v>
      </c>
      <c r="R140" s="20"/>
      <c r="S140" s="21"/>
      <c r="T140" s="22"/>
    </row>
    <row r="141" spans="1:20" ht="15" thickBot="1" x14ac:dyDescent="0.35">
      <c r="A141" s="1"/>
      <c r="B141" s="1"/>
      <c r="C141" s="1"/>
      <c r="D141" s="1"/>
      <c r="E141" s="3">
        <v>1</v>
      </c>
      <c r="F141" s="3">
        <v>0</v>
      </c>
      <c r="G141" s="1">
        <f>A139+(B139*E141)+(C139*F141)</f>
        <v>-1.376177359286888</v>
      </c>
      <c r="H141" s="1">
        <f t="shared" si="101"/>
        <v>0.20162363433802422</v>
      </c>
      <c r="I141" s="10">
        <f>($C$6-H141)^2</f>
        <v>4.06520899236733E-2</v>
      </c>
      <c r="J141" s="1">
        <f>2*(H141-$C$6)</f>
        <v>0.40324726867604843</v>
      </c>
      <c r="K141" s="10">
        <f t="shared" si="102"/>
        <v>0.16097154441435094</v>
      </c>
      <c r="L141" s="1">
        <v>1</v>
      </c>
      <c r="M141" s="1">
        <f t="shared" si="103"/>
        <v>1</v>
      </c>
      <c r="N141" s="10">
        <f t="shared" si="104"/>
        <v>0</v>
      </c>
      <c r="O141" s="1">
        <f t="shared" si="105"/>
        <v>6.4911335619652233E-2</v>
      </c>
      <c r="P141" s="1">
        <f t="shared" si="106"/>
        <v>6.4911335619652233E-2</v>
      </c>
      <c r="Q141" s="1">
        <f t="shared" si="107"/>
        <v>0</v>
      </c>
      <c r="R141" s="20"/>
      <c r="S141" s="21"/>
      <c r="T141" s="22"/>
    </row>
    <row r="142" spans="1:20" ht="15" thickBot="1" x14ac:dyDescent="0.35">
      <c r="A142" s="1"/>
      <c r="B142" s="1"/>
      <c r="C142" s="1"/>
      <c r="D142" s="1"/>
      <c r="E142" s="3">
        <v>1</v>
      </c>
      <c r="F142" s="3">
        <v>1</v>
      </c>
      <c r="G142" s="1">
        <f>A139+(B139*E142)+(C139*F142)</f>
        <v>0.94298089283818287</v>
      </c>
      <c r="H142" s="1">
        <f>1/(1+EXP(-G142))</f>
        <v>0.71970139043410908</v>
      </c>
      <c r="I142" s="10">
        <f>($C$7-H142)^2</f>
        <v>7.8567310524571762E-2</v>
      </c>
      <c r="J142" s="1">
        <f>2*(H142-$C$7)</f>
        <v>-0.56059721913178184</v>
      </c>
      <c r="K142" s="10">
        <f t="shared" si="102"/>
        <v>0.20173129904131912</v>
      </c>
      <c r="L142" s="1">
        <v>1</v>
      </c>
      <c r="M142" s="1">
        <f t="shared" si="103"/>
        <v>1</v>
      </c>
      <c r="N142" s="10">
        <f t="shared" si="104"/>
        <v>1</v>
      </c>
      <c r="O142" s="1">
        <f t="shared" si="105"/>
        <v>-0.11309000525440538</v>
      </c>
      <c r="P142" s="1">
        <f t="shared" si="106"/>
        <v>-0.11309000525440538</v>
      </c>
      <c r="Q142" s="1">
        <f t="shared" si="107"/>
        <v>-0.11309000525440538</v>
      </c>
      <c r="R142" s="20"/>
      <c r="S142" s="21"/>
      <c r="T142" s="22"/>
    </row>
    <row r="143" spans="1:20" ht="15" thickBot="1" x14ac:dyDescent="0.35">
      <c r="A143" s="1"/>
      <c r="B143" s="1"/>
      <c r="C143" s="1"/>
      <c r="D143" s="1"/>
      <c r="E143" s="1"/>
      <c r="F143" s="1"/>
      <c r="G143" s="1"/>
      <c r="H143" s="1"/>
      <c r="I143" s="10">
        <f>SUM(I139:I142)</f>
        <v>0.18198978254176384</v>
      </c>
      <c r="J143" s="1"/>
      <c r="K143" s="1"/>
      <c r="L143" s="1"/>
      <c r="M143" s="1"/>
      <c r="N143" s="1"/>
      <c r="O143" s="1">
        <f>AVERAGE(O139:O142)</f>
        <v>1.1647431967693189E-2</v>
      </c>
      <c r="P143" s="1">
        <f>AVERAGE(P139:P142)</f>
        <v>-1.2044667408688287E-2</v>
      </c>
      <c r="Q143" s="1">
        <f>AVERAGE(Q139:Q142)</f>
        <v>-5.0611261161596262E-3</v>
      </c>
      <c r="R143" s="20"/>
      <c r="S143" s="21"/>
      <c r="T143" s="22"/>
    </row>
    <row r="144" spans="1:20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0"/>
      <c r="S144" s="21"/>
      <c r="T144" s="22"/>
    </row>
    <row r="145" spans="1:20" ht="15" thickBot="1" x14ac:dyDescent="0.35">
      <c r="A145" s="1" t="s">
        <v>27</v>
      </c>
      <c r="B145" s="3">
        <v>15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0"/>
      <c r="S145" s="21"/>
      <c r="T145" s="22"/>
    </row>
    <row r="146" spans="1:20" ht="15" thickBot="1" x14ac:dyDescent="0.35">
      <c r="A146" s="8" t="s">
        <v>7</v>
      </c>
      <c r="B146" s="20" t="s">
        <v>8</v>
      </c>
      <c r="C146" s="22"/>
      <c r="D146" s="1"/>
      <c r="E146" s="20" t="s">
        <v>9</v>
      </c>
      <c r="F146" s="22"/>
      <c r="G146" s="7"/>
      <c r="H146" s="8" t="s">
        <v>10</v>
      </c>
      <c r="I146" s="9" t="s">
        <v>11</v>
      </c>
      <c r="J146" s="1"/>
      <c r="K146" s="10"/>
      <c r="L146" s="23" t="s">
        <v>12</v>
      </c>
      <c r="M146" s="16"/>
      <c r="N146" s="24"/>
      <c r="O146" s="25" t="s">
        <v>13</v>
      </c>
      <c r="P146" s="26"/>
      <c r="Q146" s="27"/>
      <c r="R146" s="20"/>
      <c r="S146" s="21"/>
      <c r="T146" s="22"/>
    </row>
    <row r="147" spans="1:20" ht="15" thickBot="1" x14ac:dyDescent="0.35">
      <c r="A147" s="11" t="s">
        <v>14</v>
      </c>
      <c r="B147" s="11" t="s">
        <v>15</v>
      </c>
      <c r="C147" s="11" t="s">
        <v>16</v>
      </c>
      <c r="D147" s="4"/>
      <c r="E147" s="11" t="s">
        <v>17</v>
      </c>
      <c r="F147" s="11" t="s">
        <v>18</v>
      </c>
      <c r="G147" s="11" t="s">
        <v>19</v>
      </c>
      <c r="H147" s="11" t="s">
        <v>20</v>
      </c>
      <c r="I147" s="12" t="s">
        <v>21</v>
      </c>
      <c r="J147" s="13" t="s">
        <v>22</v>
      </c>
      <c r="K147" s="14" t="s">
        <v>23</v>
      </c>
      <c r="L147" s="13" t="s">
        <v>24</v>
      </c>
      <c r="M147" s="13" t="s">
        <v>25</v>
      </c>
      <c r="N147" s="14" t="s">
        <v>26</v>
      </c>
      <c r="O147" s="13" t="s">
        <v>24</v>
      </c>
      <c r="P147" s="13" t="s">
        <v>25</v>
      </c>
      <c r="Q147" s="13" t="s">
        <v>26</v>
      </c>
      <c r="R147" s="20"/>
      <c r="S147" s="21"/>
      <c r="T147" s="22"/>
    </row>
    <row r="148" spans="1:20" ht="15" thickBot="1" x14ac:dyDescent="0.35">
      <c r="A148" s="1">
        <f>A139-$C$9*O143</f>
        <v>-3.5419872583091245</v>
      </c>
      <c r="B148" s="1">
        <f>B139-$C$9*P143</f>
        <v>2.1697822534321878</v>
      </c>
      <c r="C148" s="1">
        <f>C139-$C$9*Q143</f>
        <v>2.3697695132866672</v>
      </c>
      <c r="D148" s="1"/>
      <c r="E148" s="3">
        <v>0</v>
      </c>
      <c r="F148" s="3">
        <v>0</v>
      </c>
      <c r="G148" s="1">
        <f>A148+(B148*E148)+(C148*F148)</f>
        <v>-3.5419872583091245</v>
      </c>
      <c r="H148" s="1">
        <f>1/(1+EXP(-G148))</f>
        <v>2.8140887492729846E-2</v>
      </c>
      <c r="I148" s="10">
        <f>($C$4-H148)^2</f>
        <v>7.9190954887847905E-4</v>
      </c>
      <c r="J148" s="1">
        <f>2*(H148-$C$4)</f>
        <v>5.6281774985459693E-2</v>
      </c>
      <c r="K148" s="10">
        <f xml:space="preserve"> EXP(-G148)/POWER(1+EXP(-G148),2)</f>
        <v>2.7348977943851369E-2</v>
      </c>
      <c r="L148" s="1">
        <v>1</v>
      </c>
      <c r="M148" s="1">
        <f>E148</f>
        <v>0</v>
      </c>
      <c r="N148" s="10">
        <f>F148</f>
        <v>0</v>
      </c>
      <c r="O148" s="1">
        <f>J148*K148*L148</f>
        <v>1.5392490227181428E-3</v>
      </c>
      <c r="P148" s="1">
        <f>J148*K148*M148</f>
        <v>0</v>
      </c>
      <c r="Q148" s="1">
        <f>J148*K148*N148</f>
        <v>0</v>
      </c>
      <c r="R148" s="20"/>
      <c r="S148" s="21"/>
      <c r="T148" s="22"/>
    </row>
    <row r="149" spans="1:20" ht="15" thickBot="1" x14ac:dyDescent="0.35">
      <c r="A149" s="1"/>
      <c r="B149" s="1"/>
      <c r="C149" s="1"/>
      <c r="D149" s="1"/>
      <c r="E149" s="3">
        <v>0</v>
      </c>
      <c r="F149" s="3">
        <v>1</v>
      </c>
      <c r="G149" s="1">
        <f>A148+(B148*E149)+(C148*F149)</f>
        <v>-1.1722177450224573</v>
      </c>
      <c r="H149" s="1">
        <f t="shared" ref="H149:H150" si="108">1/(1+EXP(-G149))</f>
        <v>0.23645435040492957</v>
      </c>
      <c r="I149" s="10">
        <f>($C$5-H149)^2</f>
        <v>5.5910659825417215E-2</v>
      </c>
      <c r="J149" s="1">
        <f>2*(H149-$C$5)</f>
        <v>0.47290870080985914</v>
      </c>
      <c r="K149" s="10">
        <f t="shared" ref="K149:K151" si="109" xml:space="preserve"> EXP(-G149)/POWER(1+EXP(-G149),2)</f>
        <v>0.18054369057951236</v>
      </c>
      <c r="L149" s="1">
        <v>1</v>
      </c>
      <c r="M149" s="1">
        <f t="shared" ref="M149:M151" si="110">E149</f>
        <v>0</v>
      </c>
      <c r="N149" s="10">
        <f t="shared" ref="N149:N151" si="111">F149</f>
        <v>1</v>
      </c>
      <c r="O149" s="1">
        <f t="shared" ref="O149:O151" si="112">J149*K149*L149</f>
        <v>8.5380682151374399E-2</v>
      </c>
      <c r="P149" s="1">
        <f t="shared" ref="P149:P151" si="113">J149*K149*M149</f>
        <v>0</v>
      </c>
      <c r="Q149" s="1">
        <f t="shared" ref="Q149:Q151" si="114">J149*K149*N149</f>
        <v>8.5380682151374399E-2</v>
      </c>
      <c r="R149" s="20"/>
      <c r="S149" s="21"/>
      <c r="T149" s="22"/>
    </row>
    <row r="150" spans="1:20" ht="15" thickBot="1" x14ac:dyDescent="0.35">
      <c r="A150" s="1"/>
      <c r="B150" s="1"/>
      <c r="C150" s="1"/>
      <c r="D150" s="1"/>
      <c r="E150" s="3">
        <v>1</v>
      </c>
      <c r="F150" s="3">
        <v>0</v>
      </c>
      <c r="G150" s="1">
        <f>A148+(B148*E150)+(C148*F150)</f>
        <v>-1.3722050048769368</v>
      </c>
      <c r="H150" s="1">
        <f t="shared" si="108"/>
        <v>0.20226382831470394</v>
      </c>
      <c r="I150" s="10">
        <f>($C$6-H150)^2</f>
        <v>4.0910656244520033E-2</v>
      </c>
      <c r="J150" s="1">
        <f>2*(H150-$C$6)</f>
        <v>0.40452765662940787</v>
      </c>
      <c r="K150" s="10">
        <f t="shared" si="109"/>
        <v>0.16135317207018393</v>
      </c>
      <c r="L150" s="1">
        <v>1</v>
      </c>
      <c r="M150" s="1">
        <f t="shared" si="110"/>
        <v>1</v>
      </c>
      <c r="N150" s="10">
        <f t="shared" si="111"/>
        <v>0</v>
      </c>
      <c r="O150" s="1">
        <f t="shared" si="112"/>
        <v>6.5271820587273127E-2</v>
      </c>
      <c r="P150" s="1">
        <f t="shared" si="113"/>
        <v>6.5271820587273127E-2</v>
      </c>
      <c r="Q150" s="1">
        <f t="shared" si="114"/>
        <v>0</v>
      </c>
      <c r="R150" s="20"/>
      <c r="S150" s="21"/>
      <c r="T150" s="22"/>
    </row>
    <row r="151" spans="1:20" ht="15" thickBot="1" x14ac:dyDescent="0.35">
      <c r="A151" s="1"/>
      <c r="B151" s="1"/>
      <c r="C151" s="1"/>
      <c r="D151" s="1"/>
      <c r="E151" s="3">
        <v>1</v>
      </c>
      <c r="F151" s="3">
        <v>1</v>
      </c>
      <c r="G151" s="1">
        <f>A148+(B148*E151)+(C148*F151)</f>
        <v>0.99756450840973043</v>
      </c>
      <c r="H151" s="1">
        <f>1/(1+EXP(-G151))</f>
        <v>0.73057946253850015</v>
      </c>
      <c r="I151" s="10">
        <f>($C$7-H151)^2</f>
        <v>7.258742600604344E-2</v>
      </c>
      <c r="J151" s="1">
        <f>2*(H151-$C$7)</f>
        <v>-0.53884107492299971</v>
      </c>
      <c r="K151" s="10">
        <f t="shared" si="109"/>
        <v>0.19683311145545643</v>
      </c>
      <c r="L151" s="1">
        <v>1</v>
      </c>
      <c r="M151" s="1">
        <f t="shared" si="110"/>
        <v>1</v>
      </c>
      <c r="N151" s="10">
        <f t="shared" si="111"/>
        <v>1</v>
      </c>
      <c r="O151" s="1">
        <f t="shared" si="112"/>
        <v>-0.10606176535709674</v>
      </c>
      <c r="P151" s="1">
        <f t="shared" si="113"/>
        <v>-0.10606176535709674</v>
      </c>
      <c r="Q151" s="1">
        <f t="shared" si="114"/>
        <v>-0.10606176535709674</v>
      </c>
      <c r="R151" s="20"/>
      <c r="S151" s="21"/>
      <c r="T151" s="22"/>
    </row>
    <row r="152" spans="1:20" ht="15" thickBot="1" x14ac:dyDescent="0.35">
      <c r="A152" s="1"/>
      <c r="B152" s="1"/>
      <c r="C152" s="1"/>
      <c r="D152" s="1"/>
      <c r="E152" s="1"/>
      <c r="F152" s="1"/>
      <c r="G152" s="1"/>
      <c r="H152" s="1"/>
      <c r="I152" s="10">
        <f>SUM(I148:I151)</f>
        <v>0.17020065162485915</v>
      </c>
      <c r="J152" s="1"/>
      <c r="K152" s="1"/>
      <c r="L152" s="1"/>
      <c r="M152" s="1"/>
      <c r="N152" s="1"/>
      <c r="O152" s="1">
        <f>AVERAGE(O148:O151)</f>
        <v>1.1532496601067234E-2</v>
      </c>
      <c r="P152" s="1">
        <f>AVERAGE(P148:P151)</f>
        <v>-1.0197486192455904E-2</v>
      </c>
      <c r="Q152" s="1">
        <f>AVERAGE(Q148:Q151)</f>
        <v>-5.1702708014305862E-3</v>
      </c>
      <c r="R152" s="20"/>
      <c r="S152" s="21"/>
      <c r="T152" s="22"/>
    </row>
    <row r="153" spans="1:20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20"/>
      <c r="S153" s="21"/>
      <c r="T153" s="22"/>
    </row>
    <row r="154" spans="1:20" ht="15" thickBot="1" x14ac:dyDescent="0.35">
      <c r="A154" s="1" t="s">
        <v>27</v>
      </c>
      <c r="B154" s="3">
        <v>16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20"/>
      <c r="S154" s="21"/>
      <c r="T154" s="22"/>
    </row>
    <row r="155" spans="1:20" ht="15" thickBot="1" x14ac:dyDescent="0.35">
      <c r="A155" s="8" t="s">
        <v>7</v>
      </c>
      <c r="B155" s="20" t="s">
        <v>8</v>
      </c>
      <c r="C155" s="22"/>
      <c r="D155" s="1"/>
      <c r="E155" s="20" t="s">
        <v>9</v>
      </c>
      <c r="F155" s="22"/>
      <c r="G155" s="7"/>
      <c r="H155" s="8" t="s">
        <v>10</v>
      </c>
      <c r="I155" s="9" t="s">
        <v>11</v>
      </c>
      <c r="J155" s="1"/>
      <c r="K155" s="10"/>
      <c r="L155" s="23" t="s">
        <v>12</v>
      </c>
      <c r="M155" s="16"/>
      <c r="N155" s="24"/>
      <c r="O155" s="25" t="s">
        <v>13</v>
      </c>
      <c r="P155" s="26"/>
      <c r="Q155" s="27"/>
      <c r="R155" s="20"/>
      <c r="S155" s="21"/>
      <c r="T155" s="22"/>
    </row>
    <row r="156" spans="1:20" ht="15" thickBot="1" x14ac:dyDescent="0.35">
      <c r="A156" s="11" t="s">
        <v>14</v>
      </c>
      <c r="B156" s="11" t="s">
        <v>15</v>
      </c>
      <c r="C156" s="11" t="s">
        <v>16</v>
      </c>
      <c r="D156" s="4"/>
      <c r="E156" s="11" t="s">
        <v>17</v>
      </c>
      <c r="F156" s="11" t="s">
        <v>18</v>
      </c>
      <c r="G156" s="11" t="s">
        <v>19</v>
      </c>
      <c r="H156" s="11" t="s">
        <v>20</v>
      </c>
      <c r="I156" s="12" t="s">
        <v>21</v>
      </c>
      <c r="J156" s="13" t="s">
        <v>22</v>
      </c>
      <c r="K156" s="14" t="s">
        <v>23</v>
      </c>
      <c r="L156" s="13" t="s">
        <v>24</v>
      </c>
      <c r="M156" s="13" t="s">
        <v>25</v>
      </c>
      <c r="N156" s="14" t="s">
        <v>26</v>
      </c>
      <c r="O156" s="13" t="s">
        <v>24</v>
      </c>
      <c r="P156" s="13" t="s">
        <v>25</v>
      </c>
      <c r="Q156" s="13" t="s">
        <v>26</v>
      </c>
      <c r="R156" s="20"/>
      <c r="S156" s="21"/>
      <c r="T156" s="22"/>
    </row>
    <row r="157" spans="1:20" ht="15" thickBot="1" x14ac:dyDescent="0.35">
      <c r="A157" s="1">
        <f>A148-$C$9*O152</f>
        <v>-3.6573122243197971</v>
      </c>
      <c r="B157" s="1">
        <f>B148-$C$9*P152</f>
        <v>2.2717571153567468</v>
      </c>
      <c r="C157" s="1">
        <f>C148-$C$9*Q152</f>
        <v>2.4214722213009732</v>
      </c>
      <c r="D157" s="1"/>
      <c r="E157" s="3">
        <v>0</v>
      </c>
      <c r="F157" s="3">
        <v>0</v>
      </c>
      <c r="G157" s="1">
        <f>A157+(B157*E157)+(C157*F157)</f>
        <v>-3.6573122243197971</v>
      </c>
      <c r="H157" s="1">
        <f>1/(1+EXP(-G157))</f>
        <v>2.515278269102161E-2</v>
      </c>
      <c r="I157" s="10">
        <f>($C$4-H157)^2</f>
        <v>6.326624771017563E-4</v>
      </c>
      <c r="J157" s="1">
        <f>2*(H157-$C$4)</f>
        <v>5.030556538204322E-2</v>
      </c>
      <c r="K157" s="10">
        <f xml:space="preserve"> EXP(-G157)/POWER(1+EXP(-G157),2)</f>
        <v>2.4520120213919853E-2</v>
      </c>
      <c r="L157" s="1">
        <v>1</v>
      </c>
      <c r="M157" s="1">
        <f>E157</f>
        <v>0</v>
      </c>
      <c r="N157" s="10">
        <f>F157</f>
        <v>0</v>
      </c>
      <c r="O157" s="1">
        <f>J157*K157*L157</f>
        <v>1.2334985105969048E-3</v>
      </c>
      <c r="P157" s="1">
        <f>J157*K157*M157</f>
        <v>0</v>
      </c>
      <c r="Q157" s="1">
        <f>J157*K157*N157</f>
        <v>0</v>
      </c>
      <c r="R157" s="20"/>
      <c r="S157" s="21"/>
      <c r="T157" s="22"/>
    </row>
    <row r="158" spans="1:20" ht="15" thickBot="1" x14ac:dyDescent="0.35">
      <c r="A158" s="1"/>
      <c r="B158" s="1"/>
      <c r="C158" s="1"/>
      <c r="D158" s="1"/>
      <c r="E158" s="3">
        <v>0</v>
      </c>
      <c r="F158" s="3">
        <v>1</v>
      </c>
      <c r="G158" s="1">
        <f>A157+(B157*E158)+(C157*F158)</f>
        <v>-1.2358400030188239</v>
      </c>
      <c r="H158" s="1">
        <f t="shared" ref="H158:H159" si="115">1/(1+EXP(-G158))</f>
        <v>0.22516092340101992</v>
      </c>
      <c r="I158" s="10">
        <f>($C$5-H158)^2</f>
        <v>5.0697441426799959E-2</v>
      </c>
      <c r="J158" s="1">
        <f>2*(H158-$C$5)</f>
        <v>0.45032184680203985</v>
      </c>
      <c r="K158" s="10">
        <f t="shared" ref="K158:K160" si="116" xml:space="preserve"> EXP(-G158)/POWER(1+EXP(-G158),2)</f>
        <v>0.17446348197421993</v>
      </c>
      <c r="L158" s="1">
        <v>1</v>
      </c>
      <c r="M158" s="1">
        <f t="shared" ref="M158:M160" si="117">E158</f>
        <v>0</v>
      </c>
      <c r="N158" s="10">
        <f t="shared" ref="N158:N160" si="118">F158</f>
        <v>1</v>
      </c>
      <c r="O158" s="1">
        <f t="shared" ref="O158:O160" si="119">J158*K158*L158</f>
        <v>7.8564717402145115E-2</v>
      </c>
      <c r="P158" s="1">
        <f t="shared" ref="P158:P160" si="120">J158*K158*M158</f>
        <v>0</v>
      </c>
      <c r="Q158" s="1">
        <f t="shared" ref="Q158:Q160" si="121">J158*K158*N158</f>
        <v>7.8564717402145115E-2</v>
      </c>
      <c r="R158" s="20"/>
      <c r="S158" s="21"/>
      <c r="T158" s="22"/>
    </row>
    <row r="159" spans="1:20" ht="15" thickBot="1" x14ac:dyDescent="0.35">
      <c r="A159" s="1"/>
      <c r="B159" s="1"/>
      <c r="C159" s="1"/>
      <c r="D159" s="1"/>
      <c r="E159" s="3">
        <v>1</v>
      </c>
      <c r="F159" s="3">
        <v>0</v>
      </c>
      <c r="G159" s="1">
        <f>A157+(B157*E159)+(C157*F159)</f>
        <v>-1.3855551089630502</v>
      </c>
      <c r="H159" s="1">
        <f t="shared" si="115"/>
        <v>0.20011830657722438</v>
      </c>
      <c r="I159" s="10">
        <f>($C$6-H159)^2</f>
        <v>4.0047336627335964E-2</v>
      </c>
      <c r="J159" s="1">
        <f>2*(H159-$C$6)</f>
        <v>0.40023661315444875</v>
      </c>
      <c r="K159" s="10">
        <f t="shared" si="116"/>
        <v>0.16007096994988843</v>
      </c>
      <c r="L159" s="1">
        <v>1</v>
      </c>
      <c r="M159" s="1">
        <f t="shared" si="117"/>
        <v>1</v>
      </c>
      <c r="N159" s="10">
        <f t="shared" si="118"/>
        <v>0</v>
      </c>
      <c r="O159" s="1">
        <f t="shared" si="119"/>
        <v>6.4066262877090885E-2</v>
      </c>
      <c r="P159" s="1">
        <f t="shared" si="120"/>
        <v>6.4066262877090885E-2</v>
      </c>
      <c r="Q159" s="1">
        <f t="shared" si="121"/>
        <v>0</v>
      </c>
      <c r="R159" s="20"/>
      <c r="S159" s="21"/>
      <c r="T159" s="22"/>
    </row>
    <row r="160" spans="1:20" ht="15" thickBot="1" x14ac:dyDescent="0.35">
      <c r="A160" s="1"/>
      <c r="B160" s="1"/>
      <c r="C160" s="1"/>
      <c r="D160" s="1"/>
      <c r="E160" s="3">
        <v>1</v>
      </c>
      <c r="F160" s="3">
        <v>1</v>
      </c>
      <c r="G160" s="1">
        <f>A157+(B157*E160)+(C157*F160)</f>
        <v>1.0359171123379229</v>
      </c>
      <c r="H160" s="1">
        <f>1/(1+EXP(-G160))</f>
        <v>0.7380614422453301</v>
      </c>
      <c r="I160" s="10">
        <f>($C$7-H160)^2</f>
        <v>6.8611808038596539E-2</v>
      </c>
      <c r="J160" s="1">
        <f>2*(H160-$C$7)</f>
        <v>-0.5238771155093398</v>
      </c>
      <c r="K160" s="10">
        <f t="shared" si="116"/>
        <v>0.19332674971607336</v>
      </c>
      <c r="L160" s="1">
        <v>1</v>
      </c>
      <c r="M160" s="1">
        <f t="shared" si="117"/>
        <v>1</v>
      </c>
      <c r="N160" s="10">
        <f t="shared" si="118"/>
        <v>1</v>
      </c>
      <c r="O160" s="1">
        <f t="shared" si="119"/>
        <v>-0.10127945999205258</v>
      </c>
      <c r="P160" s="1">
        <f t="shared" si="120"/>
        <v>-0.10127945999205258</v>
      </c>
      <c r="Q160" s="1">
        <f t="shared" si="121"/>
        <v>-0.10127945999205258</v>
      </c>
      <c r="R160" s="20"/>
      <c r="S160" s="21"/>
      <c r="T160" s="22"/>
    </row>
    <row r="161" spans="1:20" ht="15" thickBot="1" x14ac:dyDescent="0.35">
      <c r="A161" s="1"/>
      <c r="B161" s="1"/>
      <c r="C161" s="1"/>
      <c r="D161" s="1"/>
      <c r="E161" s="1"/>
      <c r="F161" s="1"/>
      <c r="G161" s="1"/>
      <c r="H161" s="1"/>
      <c r="I161" s="10">
        <f>SUM(I157:I160)</f>
        <v>0.15998924856983421</v>
      </c>
      <c r="J161" s="1"/>
      <c r="K161" s="1"/>
      <c r="L161" s="1"/>
      <c r="M161" s="1"/>
      <c r="N161" s="1"/>
      <c r="O161" s="1">
        <f>AVERAGE(O157:O160)</f>
        <v>1.0646254699445083E-2</v>
      </c>
      <c r="P161" s="1">
        <f>AVERAGE(P157:P160)</f>
        <v>-9.3032992787404241E-3</v>
      </c>
      <c r="Q161" s="1">
        <f>AVERAGE(Q157:Q160)</f>
        <v>-5.6786856474768665E-3</v>
      </c>
      <c r="R161" s="20"/>
      <c r="S161" s="21"/>
      <c r="T161" s="22"/>
    </row>
    <row r="162" spans="1:20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0"/>
      <c r="S162" s="21"/>
      <c r="T162" s="22"/>
    </row>
    <row r="163" spans="1:20" ht="15" thickBot="1" x14ac:dyDescent="0.35">
      <c r="A163" s="1" t="s">
        <v>27</v>
      </c>
      <c r="B163" s="3">
        <v>17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0"/>
      <c r="S163" s="21"/>
      <c r="T163" s="22"/>
    </row>
    <row r="164" spans="1:20" ht="15" thickBot="1" x14ac:dyDescent="0.35">
      <c r="A164" s="8" t="s">
        <v>7</v>
      </c>
      <c r="B164" s="20" t="s">
        <v>8</v>
      </c>
      <c r="C164" s="22"/>
      <c r="D164" s="1"/>
      <c r="E164" s="20" t="s">
        <v>9</v>
      </c>
      <c r="F164" s="22"/>
      <c r="G164" s="7"/>
      <c r="H164" s="8" t="s">
        <v>10</v>
      </c>
      <c r="I164" s="9" t="s">
        <v>11</v>
      </c>
      <c r="J164" s="1"/>
      <c r="K164" s="10"/>
      <c r="L164" s="23" t="s">
        <v>12</v>
      </c>
      <c r="M164" s="16"/>
      <c r="N164" s="24"/>
      <c r="O164" s="25" t="s">
        <v>13</v>
      </c>
      <c r="P164" s="26"/>
      <c r="Q164" s="27"/>
      <c r="R164" s="20"/>
      <c r="S164" s="21"/>
      <c r="T164" s="22"/>
    </row>
    <row r="165" spans="1:20" ht="15" thickBot="1" x14ac:dyDescent="0.35">
      <c r="A165" s="11" t="s">
        <v>14</v>
      </c>
      <c r="B165" s="11" t="s">
        <v>15</v>
      </c>
      <c r="C165" s="11" t="s">
        <v>16</v>
      </c>
      <c r="D165" s="4"/>
      <c r="E165" s="11" t="s">
        <v>17</v>
      </c>
      <c r="F165" s="11" t="s">
        <v>18</v>
      </c>
      <c r="G165" s="11" t="s">
        <v>19</v>
      </c>
      <c r="H165" s="11" t="s">
        <v>20</v>
      </c>
      <c r="I165" s="12" t="s">
        <v>21</v>
      </c>
      <c r="J165" s="13" t="s">
        <v>22</v>
      </c>
      <c r="K165" s="14" t="s">
        <v>23</v>
      </c>
      <c r="L165" s="13" t="s">
        <v>24</v>
      </c>
      <c r="M165" s="13" t="s">
        <v>25</v>
      </c>
      <c r="N165" s="14" t="s">
        <v>26</v>
      </c>
      <c r="O165" s="13" t="s">
        <v>24</v>
      </c>
      <c r="P165" s="13" t="s">
        <v>25</v>
      </c>
      <c r="Q165" s="13" t="s">
        <v>26</v>
      </c>
      <c r="R165" s="20"/>
      <c r="S165" s="21"/>
      <c r="T165" s="22"/>
    </row>
    <row r="166" spans="1:20" ht="15" thickBot="1" x14ac:dyDescent="0.35">
      <c r="A166" s="1">
        <f>A157-$C$9*O161</f>
        <v>-3.7637747713142478</v>
      </c>
      <c r="B166" s="1">
        <f>B157-$C$9*P161</f>
        <v>2.3647901081441511</v>
      </c>
      <c r="C166" s="1">
        <f>C157-$C$9*Q161</f>
        <v>2.4782590777757418</v>
      </c>
      <c r="D166" s="1"/>
      <c r="E166" s="3">
        <v>0</v>
      </c>
      <c r="F166" s="3">
        <v>0</v>
      </c>
      <c r="G166" s="1">
        <f>A166+(B166*E166)+(C166*F166)</f>
        <v>-3.7637747713142478</v>
      </c>
      <c r="H166" s="1">
        <f>1/(1+EXP(-G166))</f>
        <v>2.2670157925859975E-2</v>
      </c>
      <c r="I166" s="10">
        <f>($C$4-H166)^2</f>
        <v>5.1393606038343186E-4</v>
      </c>
      <c r="J166" s="1">
        <f>2*(H166-$C$4)</f>
        <v>4.5340315851719951E-2</v>
      </c>
      <c r="K166" s="10">
        <f xml:space="preserve"> EXP(-G166)/POWER(1+EXP(-G166),2)</f>
        <v>2.2156221865476545E-2</v>
      </c>
      <c r="L166" s="1">
        <v>1</v>
      </c>
      <c r="M166" s="1">
        <f>E166</f>
        <v>0</v>
      </c>
      <c r="N166" s="10">
        <f>F166</f>
        <v>0</v>
      </c>
      <c r="O166" s="1">
        <f>J166*K166*L166</f>
        <v>1.0045700974614905E-3</v>
      </c>
      <c r="P166" s="1">
        <f>J166*K166*M166</f>
        <v>0</v>
      </c>
      <c r="Q166" s="1">
        <f>J166*K166*N166</f>
        <v>0</v>
      </c>
      <c r="R166" s="20"/>
      <c r="S166" s="21"/>
      <c r="T166" s="22"/>
    </row>
    <row r="167" spans="1:20" ht="15" thickBot="1" x14ac:dyDescent="0.35">
      <c r="A167" s="1"/>
      <c r="B167" s="1"/>
      <c r="C167" s="1"/>
      <c r="D167" s="1"/>
      <c r="E167" s="3">
        <v>0</v>
      </c>
      <c r="F167" s="3">
        <v>1</v>
      </c>
      <c r="G167" s="1">
        <f>A166+(B166*E167)+(C166*F167)</f>
        <v>-1.2855156935385059</v>
      </c>
      <c r="H167" s="1">
        <f t="shared" ref="H167:H168" si="122">1/(1+EXP(-G167))</f>
        <v>0.21661279331376312</v>
      </c>
      <c r="I167" s="10">
        <f>($C$5-H167)^2</f>
        <v>4.6921102227191064E-2</v>
      </c>
      <c r="J167" s="1">
        <f>2*(H167-$C$5)</f>
        <v>0.43322558662752625</v>
      </c>
      <c r="K167" s="10">
        <f t="shared" ref="K167:K169" si="123" xml:space="preserve"> EXP(-G167)/POWER(1+EXP(-G167),2)</f>
        <v>0.16969169108657209</v>
      </c>
      <c r="L167" s="1">
        <v>1</v>
      </c>
      <c r="M167" s="1">
        <f t="shared" ref="M167:M169" si="124">E167</f>
        <v>0</v>
      </c>
      <c r="N167" s="10">
        <f t="shared" ref="N167:N169" si="125">F167</f>
        <v>1</v>
      </c>
      <c r="O167" s="1">
        <f t="shared" ref="O167:O169" si="126">J167*K167*L167</f>
        <v>7.3514782416797167E-2</v>
      </c>
      <c r="P167" s="1">
        <f t="shared" ref="P167:P169" si="127">J167*K167*M167</f>
        <v>0</v>
      </c>
      <c r="Q167" s="1">
        <f t="shared" ref="Q167:Q169" si="128">J167*K167*N167</f>
        <v>7.3514782416797167E-2</v>
      </c>
      <c r="R167" s="20"/>
      <c r="S167" s="21"/>
      <c r="T167" s="22"/>
    </row>
    <row r="168" spans="1:20" ht="15" thickBot="1" x14ac:dyDescent="0.35">
      <c r="A168" s="1"/>
      <c r="B168" s="1"/>
      <c r="C168" s="1"/>
      <c r="D168" s="1"/>
      <c r="E168" s="3">
        <v>1</v>
      </c>
      <c r="F168" s="3">
        <v>0</v>
      </c>
      <c r="G168" s="1">
        <f>A166+(B166*E168)+(C166*F168)</f>
        <v>-1.3989846631700966</v>
      </c>
      <c r="H168" s="1">
        <f t="shared" si="122"/>
        <v>0.1979772794976794</v>
      </c>
      <c r="I168" s="10">
        <f>($C$6-H168)^2</f>
        <v>3.9195003197302271E-2</v>
      </c>
      <c r="J168" s="1">
        <f>2*(H168-$C$6)</f>
        <v>0.39595455899535881</v>
      </c>
      <c r="K168" s="10">
        <f t="shared" si="123"/>
        <v>0.15878227630037714</v>
      </c>
      <c r="L168" s="1">
        <v>1</v>
      </c>
      <c r="M168" s="1">
        <f t="shared" si="124"/>
        <v>1</v>
      </c>
      <c r="N168" s="10">
        <f t="shared" si="125"/>
        <v>0</v>
      </c>
      <c r="O168" s="1">
        <f t="shared" si="126"/>
        <v>6.2870566188795038E-2</v>
      </c>
      <c r="P168" s="1">
        <f t="shared" si="127"/>
        <v>6.2870566188795038E-2</v>
      </c>
      <c r="Q168" s="1">
        <f t="shared" si="128"/>
        <v>0</v>
      </c>
      <c r="R168" s="20"/>
      <c r="S168" s="21"/>
      <c r="T168" s="22"/>
    </row>
    <row r="169" spans="1:20" ht="15" thickBot="1" x14ac:dyDescent="0.35">
      <c r="A169" s="1"/>
      <c r="B169" s="1"/>
      <c r="C169" s="1"/>
      <c r="D169" s="1"/>
      <c r="E169" s="3">
        <v>1</v>
      </c>
      <c r="F169" s="3">
        <v>1</v>
      </c>
      <c r="G169" s="1">
        <f>A166+(B166*E169)+(C166*F169)</f>
        <v>1.0792744146056452</v>
      </c>
      <c r="H169" s="1">
        <f>1/(1+EXP(-G169))</f>
        <v>0.74635664848133776</v>
      </c>
      <c r="I169" s="10">
        <f>($C$7-H169)^2</f>
        <v>6.4334949769619662E-2</v>
      </c>
      <c r="J169" s="1">
        <f>2*(H169-$C$7)</f>
        <v>-0.50728670303732448</v>
      </c>
      <c r="K169" s="10">
        <f t="shared" si="123"/>
        <v>0.18930840174904251</v>
      </c>
      <c r="L169" s="1">
        <v>1</v>
      </c>
      <c r="M169" s="1">
        <f t="shared" si="124"/>
        <v>1</v>
      </c>
      <c r="N169" s="10">
        <f t="shared" si="125"/>
        <v>1</v>
      </c>
      <c r="O169" s="1">
        <f t="shared" si="126"/>
        <v>-9.6033634980537047E-2</v>
      </c>
      <c r="P169" s="1">
        <f t="shared" si="127"/>
        <v>-9.6033634980537047E-2</v>
      </c>
      <c r="Q169" s="1">
        <f t="shared" si="128"/>
        <v>-9.6033634980537047E-2</v>
      </c>
      <c r="R169" s="20"/>
      <c r="S169" s="21"/>
      <c r="T169" s="22"/>
    </row>
    <row r="170" spans="1:20" ht="15" thickBot="1" x14ac:dyDescent="0.35">
      <c r="A170" s="1"/>
      <c r="B170" s="1"/>
      <c r="C170" s="1"/>
      <c r="D170" s="1"/>
      <c r="E170" s="1"/>
      <c r="F170" s="1"/>
      <c r="G170" s="1"/>
      <c r="H170" s="1"/>
      <c r="I170" s="10">
        <f>SUM(I166:I169)</f>
        <v>0.15096499125449642</v>
      </c>
      <c r="J170" s="1"/>
      <c r="K170" s="1"/>
      <c r="L170" s="1"/>
      <c r="M170" s="1"/>
      <c r="N170" s="1"/>
      <c r="O170" s="1">
        <f>AVERAGE(O166:O169)</f>
        <v>1.0339070930629163E-2</v>
      </c>
      <c r="P170" s="1">
        <f>AVERAGE(P166:P169)</f>
        <v>-8.2907671979355023E-3</v>
      </c>
      <c r="Q170" s="1">
        <f>AVERAGE(Q166:Q169)</f>
        <v>-5.62971314093497E-3</v>
      </c>
      <c r="R170" s="20"/>
      <c r="S170" s="21"/>
      <c r="T170" s="22"/>
    </row>
    <row r="171" spans="1:20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0"/>
      <c r="S171" s="21"/>
      <c r="T171" s="22"/>
    </row>
    <row r="172" spans="1:20" ht="15" thickBot="1" x14ac:dyDescent="0.35">
      <c r="A172" s="1" t="s">
        <v>27</v>
      </c>
      <c r="B172" s="3">
        <v>18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0"/>
      <c r="S172" s="21"/>
      <c r="T172" s="22"/>
    </row>
    <row r="173" spans="1:20" ht="15" thickBot="1" x14ac:dyDescent="0.35">
      <c r="A173" s="8" t="s">
        <v>7</v>
      </c>
      <c r="B173" s="20" t="s">
        <v>8</v>
      </c>
      <c r="C173" s="22"/>
      <c r="D173" s="1"/>
      <c r="E173" s="20" t="s">
        <v>9</v>
      </c>
      <c r="F173" s="22"/>
      <c r="G173" s="7"/>
      <c r="H173" s="8" t="s">
        <v>10</v>
      </c>
      <c r="I173" s="9" t="s">
        <v>11</v>
      </c>
      <c r="J173" s="1"/>
      <c r="K173" s="10"/>
      <c r="L173" s="23" t="s">
        <v>12</v>
      </c>
      <c r="M173" s="16"/>
      <c r="N173" s="24"/>
      <c r="O173" s="25" t="s">
        <v>13</v>
      </c>
      <c r="P173" s="26"/>
      <c r="Q173" s="27"/>
      <c r="R173" s="20"/>
      <c r="S173" s="21"/>
      <c r="T173" s="22"/>
    </row>
    <row r="174" spans="1:20" ht="15" thickBot="1" x14ac:dyDescent="0.35">
      <c r="A174" s="11" t="s">
        <v>14</v>
      </c>
      <c r="B174" s="11" t="s">
        <v>15</v>
      </c>
      <c r="C174" s="11" t="s">
        <v>16</v>
      </c>
      <c r="D174" s="4"/>
      <c r="E174" s="11" t="s">
        <v>17</v>
      </c>
      <c r="F174" s="11" t="s">
        <v>18</v>
      </c>
      <c r="G174" s="11" t="s">
        <v>19</v>
      </c>
      <c r="H174" s="11" t="s">
        <v>20</v>
      </c>
      <c r="I174" s="12" t="s">
        <v>21</v>
      </c>
      <c r="J174" s="13" t="s">
        <v>22</v>
      </c>
      <c r="K174" s="14" t="s">
        <v>23</v>
      </c>
      <c r="L174" s="13" t="s">
        <v>24</v>
      </c>
      <c r="M174" s="13" t="s">
        <v>25</v>
      </c>
      <c r="N174" s="14" t="s">
        <v>26</v>
      </c>
      <c r="O174" s="13" t="s">
        <v>24</v>
      </c>
      <c r="P174" s="13" t="s">
        <v>25</v>
      </c>
      <c r="Q174" s="13" t="s">
        <v>26</v>
      </c>
      <c r="R174" s="20"/>
      <c r="S174" s="21"/>
      <c r="T174" s="22"/>
    </row>
    <row r="175" spans="1:20" ht="15" thickBot="1" x14ac:dyDescent="0.35">
      <c r="A175" s="1">
        <f>A166-$C$9*O170</f>
        <v>-3.8671654806205393</v>
      </c>
      <c r="B175" s="1">
        <f>B166-$C$9*P170</f>
        <v>2.447697780123506</v>
      </c>
      <c r="C175" s="1">
        <f>C166-$C$9*Q170</f>
        <v>2.5345562091850917</v>
      </c>
      <c r="D175" s="1"/>
      <c r="E175" s="3">
        <v>0</v>
      </c>
      <c r="F175" s="3">
        <v>0</v>
      </c>
      <c r="G175" s="1">
        <f>A175+(B175*E175)+(C175*F175)</f>
        <v>-3.8671654806205393</v>
      </c>
      <c r="H175" s="1">
        <f>1/(1+EXP(-G175))</f>
        <v>2.0488996591355592E-2</v>
      </c>
      <c r="I175" s="10">
        <f>($C$4-H175)^2</f>
        <v>4.1979898132058104E-4</v>
      </c>
      <c r="J175" s="1">
        <f>2*(H175-$C$4)</f>
        <v>4.0977993182711184E-2</v>
      </c>
      <c r="K175" s="10">
        <f xml:space="preserve"> EXP(-G175)/POWER(1+EXP(-G175),2)</f>
        <v>2.0069197610035009E-2</v>
      </c>
      <c r="L175" s="1">
        <v>1</v>
      </c>
      <c r="M175" s="1">
        <f>E175</f>
        <v>0</v>
      </c>
      <c r="N175" s="10">
        <f>F175</f>
        <v>0</v>
      </c>
      <c r="O175" s="1">
        <f>J175*K175*L175</f>
        <v>8.2239544284649815E-4</v>
      </c>
      <c r="P175" s="1">
        <f>J175*K175*M175</f>
        <v>0</v>
      </c>
      <c r="Q175" s="1">
        <f>J175*K175*N175</f>
        <v>0</v>
      </c>
      <c r="R175" s="20"/>
      <c r="S175" s="21"/>
      <c r="T175" s="22"/>
    </row>
    <row r="176" spans="1:20" ht="15" thickBot="1" x14ac:dyDescent="0.35">
      <c r="A176" s="1"/>
      <c r="B176" s="1"/>
      <c r="C176" s="1"/>
      <c r="D176" s="1"/>
      <c r="E176" s="3">
        <v>0</v>
      </c>
      <c r="F176" s="3">
        <v>1</v>
      </c>
      <c r="G176" s="1">
        <f>A175+(B175*E176)+(C175*F176)</f>
        <v>-1.3326092714354476</v>
      </c>
      <c r="H176" s="1">
        <f t="shared" ref="H176:H177" si="129">1/(1+EXP(-G176))</f>
        <v>0.20872808865629722</v>
      </c>
      <c r="I176" s="10">
        <f>($C$5-H176)^2</f>
        <v>4.356741499411107E-2</v>
      </c>
      <c r="J176" s="1">
        <f>2*(H176-$C$5)</f>
        <v>0.41745617731259443</v>
      </c>
      <c r="K176" s="10">
        <f t="shared" ref="K176:K178" si="130" xml:space="preserve"> EXP(-G176)/POWER(1+EXP(-G176),2)</f>
        <v>0.16516067366218615</v>
      </c>
      <c r="L176" s="1">
        <v>1</v>
      </c>
      <c r="M176" s="1">
        <f t="shared" ref="M176:M178" si="131">E176</f>
        <v>0</v>
      </c>
      <c r="N176" s="10">
        <f t="shared" ref="N176:N178" si="132">F176</f>
        <v>1</v>
      </c>
      <c r="O176" s="1">
        <f t="shared" ref="O176:O178" si="133">J176*K176*L176</f>
        <v>6.8947343469389119E-2</v>
      </c>
      <c r="P176" s="1">
        <f t="shared" ref="P176:P178" si="134">J176*K176*M176</f>
        <v>0</v>
      </c>
      <c r="Q176" s="1">
        <f t="shared" ref="Q176:Q178" si="135">J176*K176*N176</f>
        <v>6.8947343469389119E-2</v>
      </c>
      <c r="R176" s="20"/>
      <c r="S176" s="21"/>
      <c r="T176" s="22"/>
    </row>
    <row r="177" spans="1:20" ht="15" thickBot="1" x14ac:dyDescent="0.35">
      <c r="A177" s="1"/>
      <c r="B177" s="1"/>
      <c r="C177" s="1"/>
      <c r="D177" s="1"/>
      <c r="E177" s="3">
        <v>1</v>
      </c>
      <c r="F177" s="3">
        <v>0</v>
      </c>
      <c r="G177" s="1">
        <f>A175+(B175*E177)+(C175*F177)</f>
        <v>-1.4194677004970333</v>
      </c>
      <c r="H177" s="1">
        <f t="shared" si="129"/>
        <v>0.19474504492349742</v>
      </c>
      <c r="I177" s="10">
        <f>($C$6-H177)^2</f>
        <v>3.7925632522255032E-2</v>
      </c>
      <c r="J177" s="1">
        <f>2*(H177-$C$6)</f>
        <v>0.38949008984699485</v>
      </c>
      <c r="K177" s="10">
        <f t="shared" si="130"/>
        <v>0.15681941240124239</v>
      </c>
      <c r="L177" s="1">
        <v>1</v>
      </c>
      <c r="M177" s="1">
        <f t="shared" si="131"/>
        <v>1</v>
      </c>
      <c r="N177" s="10">
        <f t="shared" si="132"/>
        <v>0</v>
      </c>
      <c r="O177" s="1">
        <f t="shared" si="133"/>
        <v>6.1079607025912835E-2</v>
      </c>
      <c r="P177" s="1">
        <f t="shared" si="134"/>
        <v>6.1079607025912835E-2</v>
      </c>
      <c r="Q177" s="1">
        <f t="shared" si="135"/>
        <v>0</v>
      </c>
      <c r="R177" s="20"/>
      <c r="S177" s="21"/>
      <c r="T177" s="22"/>
    </row>
    <row r="178" spans="1:20" ht="15" thickBot="1" x14ac:dyDescent="0.35">
      <c r="A178" s="1"/>
      <c r="B178" s="1"/>
      <c r="C178" s="1"/>
      <c r="D178" s="1"/>
      <c r="E178" s="3">
        <v>1</v>
      </c>
      <c r="F178" s="3">
        <v>1</v>
      </c>
      <c r="G178" s="1">
        <f>A175+(B175*E178)+(C175*F178)</f>
        <v>1.1150885086880584</v>
      </c>
      <c r="H178" s="1">
        <f>1/(1+EXP(-G178))</f>
        <v>0.75307654918059108</v>
      </c>
      <c r="I178" s="10">
        <f>($C$7-H178)^2</f>
        <v>6.0971190564565056E-2</v>
      </c>
      <c r="J178" s="1">
        <f>2*(H178-$C$7)</f>
        <v>-0.49384690163881784</v>
      </c>
      <c r="K178" s="10">
        <f t="shared" si="130"/>
        <v>0.18595226025484382</v>
      </c>
      <c r="L178" s="1">
        <v>1</v>
      </c>
      <c r="M178" s="1">
        <f t="shared" si="131"/>
        <v>1</v>
      </c>
      <c r="N178" s="10">
        <f t="shared" si="132"/>
        <v>1</v>
      </c>
      <c r="O178" s="1">
        <f t="shared" si="133"/>
        <v>-9.1831947579589707E-2</v>
      </c>
      <c r="P178" s="1">
        <f t="shared" si="134"/>
        <v>-9.1831947579589707E-2</v>
      </c>
      <c r="Q178" s="1">
        <f t="shared" si="135"/>
        <v>-9.1831947579589707E-2</v>
      </c>
      <c r="R178" s="20"/>
      <c r="S178" s="21"/>
      <c r="T178" s="22"/>
    </row>
    <row r="179" spans="1:20" ht="15" thickBot="1" x14ac:dyDescent="0.35">
      <c r="A179" s="1"/>
      <c r="B179" s="1"/>
      <c r="C179" s="1"/>
      <c r="D179" s="1"/>
      <c r="E179" s="1"/>
      <c r="F179" s="1"/>
      <c r="G179" s="1"/>
      <c r="H179" s="1"/>
      <c r="I179" s="10">
        <f>SUM(I175:I178)</f>
        <v>0.14288403706225172</v>
      </c>
      <c r="J179" s="1"/>
      <c r="K179" s="1"/>
      <c r="L179" s="1"/>
      <c r="M179" s="1"/>
      <c r="N179" s="1"/>
      <c r="O179" s="1">
        <f>AVERAGE(O175:O178)</f>
        <v>9.7543495896396867E-3</v>
      </c>
      <c r="P179" s="1">
        <f>AVERAGE(P175:P178)</f>
        <v>-7.6880851384192178E-3</v>
      </c>
      <c r="Q179" s="1">
        <f>AVERAGE(Q175:Q178)</f>
        <v>-5.7211510275501469E-3</v>
      </c>
      <c r="R179" s="20"/>
      <c r="S179" s="21"/>
      <c r="T179" s="22"/>
    </row>
    <row r="180" spans="1:20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0"/>
      <c r="S180" s="21"/>
      <c r="T180" s="22"/>
    </row>
    <row r="181" spans="1:20" ht="15" thickBot="1" x14ac:dyDescent="0.35">
      <c r="A181" s="1" t="s">
        <v>27</v>
      </c>
      <c r="B181" s="3">
        <v>19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20"/>
      <c r="S181" s="21"/>
      <c r="T181" s="22"/>
    </row>
    <row r="182" spans="1:20" ht="15" thickBot="1" x14ac:dyDescent="0.35">
      <c r="A182" s="8" t="s">
        <v>7</v>
      </c>
      <c r="B182" s="20" t="s">
        <v>8</v>
      </c>
      <c r="C182" s="22"/>
      <c r="D182" s="1"/>
      <c r="E182" s="20" t="s">
        <v>9</v>
      </c>
      <c r="F182" s="22"/>
      <c r="G182" s="7"/>
      <c r="H182" s="8" t="s">
        <v>10</v>
      </c>
      <c r="I182" s="9" t="s">
        <v>11</v>
      </c>
      <c r="J182" s="1"/>
      <c r="K182" s="10"/>
      <c r="L182" s="23" t="s">
        <v>12</v>
      </c>
      <c r="M182" s="16"/>
      <c r="N182" s="24"/>
      <c r="O182" s="25" t="s">
        <v>13</v>
      </c>
      <c r="P182" s="26"/>
      <c r="Q182" s="27"/>
      <c r="R182" s="20"/>
      <c r="S182" s="21"/>
      <c r="T182" s="22"/>
    </row>
    <row r="183" spans="1:20" ht="15" thickBot="1" x14ac:dyDescent="0.35">
      <c r="A183" s="11" t="s">
        <v>14</v>
      </c>
      <c r="B183" s="11" t="s">
        <v>15</v>
      </c>
      <c r="C183" s="11" t="s">
        <v>16</v>
      </c>
      <c r="D183" s="4"/>
      <c r="E183" s="11" t="s">
        <v>17</v>
      </c>
      <c r="F183" s="11" t="s">
        <v>18</v>
      </c>
      <c r="G183" s="11" t="s">
        <v>19</v>
      </c>
      <c r="H183" s="11" t="s">
        <v>20</v>
      </c>
      <c r="I183" s="12" t="s">
        <v>21</v>
      </c>
      <c r="J183" s="13" t="s">
        <v>22</v>
      </c>
      <c r="K183" s="14" t="s">
        <v>23</v>
      </c>
      <c r="L183" s="13" t="s">
        <v>24</v>
      </c>
      <c r="M183" s="13" t="s">
        <v>25</v>
      </c>
      <c r="N183" s="14" t="s">
        <v>26</v>
      </c>
      <c r="O183" s="13" t="s">
        <v>24</v>
      </c>
      <c r="P183" s="13" t="s">
        <v>25</v>
      </c>
      <c r="Q183" s="13" t="s">
        <v>26</v>
      </c>
      <c r="R183" s="20"/>
      <c r="S183" s="21"/>
      <c r="T183" s="22"/>
    </row>
    <row r="184" spans="1:20" ht="15" thickBot="1" x14ac:dyDescent="0.35">
      <c r="A184" s="1">
        <f>A175-$C$9*O179</f>
        <v>-3.9647089765169361</v>
      </c>
      <c r="B184" s="1">
        <f>B175-$C$9*P179</f>
        <v>2.5245786315076981</v>
      </c>
      <c r="C184" s="1">
        <f>C175-$C$9*Q179</f>
        <v>2.5917677194605933</v>
      </c>
      <c r="D184" s="1"/>
      <c r="E184" s="3">
        <v>0</v>
      </c>
      <c r="F184" s="3">
        <v>0</v>
      </c>
      <c r="G184" s="1">
        <f>A184+(B184*E184)+(C184*F184)</f>
        <v>-3.9647089765169361</v>
      </c>
      <c r="H184" s="1">
        <f>1/(1+EXP(-G184))</f>
        <v>1.8620264892125361E-2</v>
      </c>
      <c r="I184" s="10">
        <f>($C$4-H184)^2</f>
        <v>3.4671426465291626E-4</v>
      </c>
      <c r="J184" s="1">
        <f>2*(H184-$C$4)</f>
        <v>3.7240529784250721E-2</v>
      </c>
      <c r="K184" s="10">
        <f xml:space="preserve"> EXP(-G184)/POWER(1+EXP(-G184),2)</f>
        <v>1.8273550627472442E-2</v>
      </c>
      <c r="L184" s="1">
        <v>1</v>
      </c>
      <c r="M184" s="1">
        <f>E184</f>
        <v>0</v>
      </c>
      <c r="N184" s="10">
        <f>F184</f>
        <v>0</v>
      </c>
      <c r="O184" s="1">
        <f>J184*K184*L184</f>
        <v>6.8051670640640086E-4</v>
      </c>
      <c r="P184" s="1">
        <f>J184*K184*M184</f>
        <v>0</v>
      </c>
      <c r="Q184" s="1">
        <f>J184*K184*N184</f>
        <v>0</v>
      </c>
      <c r="R184" s="20"/>
      <c r="S184" s="21"/>
      <c r="T184" s="22"/>
    </row>
    <row r="185" spans="1:20" ht="15" thickBot="1" x14ac:dyDescent="0.35">
      <c r="A185" s="1"/>
      <c r="B185" s="1"/>
      <c r="C185" s="1"/>
      <c r="D185" s="1"/>
      <c r="E185" s="3">
        <v>0</v>
      </c>
      <c r="F185" s="3">
        <v>1</v>
      </c>
      <c r="G185" s="1">
        <f>A184+(B184*E185)+(C184*F185)</f>
        <v>-1.3729412570563428</v>
      </c>
      <c r="H185" s="1">
        <f t="shared" ref="H185:H186" si="136">1/(1+EXP(-G185))</f>
        <v>0.20214505773104793</v>
      </c>
      <c r="I185" s="10">
        <f>($C$5-H185)^2</f>
        <v>4.0862624365088702E-2</v>
      </c>
      <c r="J185" s="1">
        <f>2*(H185-$C$5)</f>
        <v>0.40429011546209587</v>
      </c>
      <c r="K185" s="10">
        <f t="shared" ref="K185:K187" si="137" xml:space="preserve"> EXP(-G185)/POWER(1+EXP(-G185),2)</f>
        <v>0.16128243336595921</v>
      </c>
      <c r="L185" s="1">
        <v>1</v>
      </c>
      <c r="M185" s="1">
        <f t="shared" ref="M185:M187" si="138">E185</f>
        <v>0</v>
      </c>
      <c r="N185" s="10">
        <f t="shared" ref="N185:N187" si="139">F185</f>
        <v>1</v>
      </c>
      <c r="O185" s="1">
        <f t="shared" ref="O185:O187" si="140">J185*K185*L185</f>
        <v>6.5204893607531428E-2</v>
      </c>
      <c r="P185" s="1">
        <f t="shared" ref="P185:P187" si="141">J185*K185*M185</f>
        <v>0</v>
      </c>
      <c r="Q185" s="1">
        <f t="shared" ref="Q185:Q187" si="142">J185*K185*N185</f>
        <v>6.5204893607531428E-2</v>
      </c>
      <c r="R185" s="20"/>
      <c r="S185" s="21"/>
      <c r="T185" s="22"/>
    </row>
    <row r="186" spans="1:20" ht="15" thickBot="1" x14ac:dyDescent="0.35">
      <c r="A186" s="1"/>
      <c r="B186" s="1"/>
      <c r="C186" s="1"/>
      <c r="D186" s="1"/>
      <c r="E186" s="3">
        <v>1</v>
      </c>
      <c r="F186" s="3">
        <v>0</v>
      </c>
      <c r="G186" s="1">
        <f>A184+(B184*E186)+(C184*F186)</f>
        <v>-1.440130345009238</v>
      </c>
      <c r="H186" s="1">
        <f t="shared" si="136"/>
        <v>0.19152516470170125</v>
      </c>
      <c r="I186" s="10">
        <f>($C$6-H186)^2</f>
        <v>3.6681888714013788E-2</v>
      </c>
      <c r="J186" s="1">
        <f>2*(H186-$C$6)</f>
        <v>0.3830503294034025</v>
      </c>
      <c r="K186" s="10">
        <f t="shared" si="137"/>
        <v>0.15484327598768746</v>
      </c>
      <c r="L186" s="1">
        <v>1</v>
      </c>
      <c r="M186" s="1">
        <f t="shared" si="138"/>
        <v>1</v>
      </c>
      <c r="N186" s="10">
        <f t="shared" si="139"/>
        <v>0</v>
      </c>
      <c r="O186" s="1">
        <f t="shared" si="140"/>
        <v>5.9312767872985644E-2</v>
      </c>
      <c r="P186" s="1">
        <f t="shared" si="141"/>
        <v>5.9312767872985644E-2</v>
      </c>
      <c r="Q186" s="1">
        <f t="shared" si="142"/>
        <v>0</v>
      </c>
      <c r="R186" s="20"/>
      <c r="S186" s="21"/>
      <c r="T186" s="22"/>
    </row>
    <row r="187" spans="1:20" ht="15" thickBot="1" x14ac:dyDescent="0.35">
      <c r="A187" s="1"/>
      <c r="B187" s="1"/>
      <c r="C187" s="1"/>
      <c r="D187" s="1"/>
      <c r="E187" s="3">
        <v>1</v>
      </c>
      <c r="F187" s="3">
        <v>1</v>
      </c>
      <c r="G187" s="1">
        <f>A184+(B184*E187)+(C184*F187)</f>
        <v>1.1516373744513553</v>
      </c>
      <c r="H187" s="1">
        <f>1/(1+EXP(-G187))</f>
        <v>0.75980986298575603</v>
      </c>
      <c r="I187" s="10">
        <f>($C$7-H187)^2</f>
        <v>5.7691301918921287E-2</v>
      </c>
      <c r="J187" s="1">
        <f>2*(H187-$C$7)</f>
        <v>-0.48038027402848793</v>
      </c>
      <c r="K187" s="10">
        <f t="shared" si="137"/>
        <v>0.18249883509532269</v>
      </c>
      <c r="L187" s="1">
        <v>1</v>
      </c>
      <c r="M187" s="1">
        <f t="shared" si="138"/>
        <v>1</v>
      </c>
      <c r="N187" s="10">
        <f t="shared" si="139"/>
        <v>1</v>
      </c>
      <c r="O187" s="1">
        <f t="shared" si="140"/>
        <v>-8.7668840412970947E-2</v>
      </c>
      <c r="P187" s="1">
        <f t="shared" si="141"/>
        <v>-8.7668840412970947E-2</v>
      </c>
      <c r="Q187" s="1">
        <f t="shared" si="142"/>
        <v>-8.7668840412970947E-2</v>
      </c>
      <c r="R187" s="20"/>
      <c r="S187" s="21"/>
      <c r="T187" s="22"/>
    </row>
    <row r="188" spans="1:20" ht="15" thickBot="1" x14ac:dyDescent="0.35">
      <c r="A188" s="1"/>
      <c r="B188" s="1"/>
      <c r="C188" s="1"/>
      <c r="D188" s="1"/>
      <c r="E188" s="1"/>
      <c r="F188" s="1"/>
      <c r="G188" s="1"/>
      <c r="H188" s="1"/>
      <c r="I188" s="10">
        <f>SUM(I184:I187)</f>
        <v>0.13558252926267669</v>
      </c>
      <c r="J188" s="1"/>
      <c r="K188" s="1"/>
      <c r="L188" s="1"/>
      <c r="M188" s="1"/>
      <c r="N188" s="1"/>
      <c r="O188" s="1">
        <f>AVERAGE(O184:O187)</f>
        <v>9.3823344434881308E-3</v>
      </c>
      <c r="P188" s="1">
        <f>AVERAGE(P184:P187)</f>
        <v>-7.0890181349963256E-3</v>
      </c>
      <c r="Q188" s="1">
        <f>AVERAGE(Q184:Q187)</f>
        <v>-5.6159867013598798E-3</v>
      </c>
      <c r="R188" s="20"/>
      <c r="S188" s="21"/>
      <c r="T188" s="22"/>
    </row>
    <row r="189" spans="1:20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0"/>
      <c r="S189" s="21"/>
      <c r="T189" s="22"/>
    </row>
    <row r="190" spans="1:20" ht="15" thickBot="1" x14ac:dyDescent="0.35">
      <c r="A190" s="1" t="s">
        <v>27</v>
      </c>
      <c r="B190" s="3">
        <v>20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20"/>
      <c r="S190" s="21"/>
      <c r="T190" s="22"/>
    </row>
    <row r="191" spans="1:20" ht="15" thickBot="1" x14ac:dyDescent="0.35">
      <c r="A191" s="8" t="s">
        <v>7</v>
      </c>
      <c r="B191" s="20" t="s">
        <v>8</v>
      </c>
      <c r="C191" s="22"/>
      <c r="D191" s="1"/>
      <c r="E191" s="20" t="s">
        <v>9</v>
      </c>
      <c r="F191" s="22"/>
      <c r="G191" s="7"/>
      <c r="H191" s="8" t="s">
        <v>10</v>
      </c>
      <c r="I191" s="9" t="s">
        <v>11</v>
      </c>
      <c r="J191" s="1"/>
      <c r="K191" s="10"/>
      <c r="L191" s="23" t="s">
        <v>12</v>
      </c>
      <c r="M191" s="16"/>
      <c r="N191" s="24"/>
      <c r="O191" s="25" t="s">
        <v>13</v>
      </c>
      <c r="P191" s="26"/>
      <c r="Q191" s="27"/>
      <c r="R191" s="20"/>
      <c r="S191" s="21"/>
      <c r="T191" s="22"/>
    </row>
    <row r="192" spans="1:20" ht="15" thickBot="1" x14ac:dyDescent="0.35">
      <c r="A192" s="11" t="s">
        <v>14</v>
      </c>
      <c r="B192" s="11" t="s">
        <v>15</v>
      </c>
      <c r="C192" s="11" t="s">
        <v>16</v>
      </c>
      <c r="D192" s="4"/>
      <c r="E192" s="11" t="s">
        <v>17</v>
      </c>
      <c r="F192" s="11" t="s">
        <v>18</v>
      </c>
      <c r="G192" s="11" t="s">
        <v>19</v>
      </c>
      <c r="H192" s="11" t="s">
        <v>20</v>
      </c>
      <c r="I192" s="12" t="s">
        <v>21</v>
      </c>
      <c r="J192" s="13" t="s">
        <v>22</v>
      </c>
      <c r="K192" s="14" t="s">
        <v>23</v>
      </c>
      <c r="L192" s="13" t="s">
        <v>24</v>
      </c>
      <c r="M192" s="13" t="s">
        <v>25</v>
      </c>
      <c r="N192" s="14" t="s">
        <v>26</v>
      </c>
      <c r="O192" s="13" t="s">
        <v>24</v>
      </c>
      <c r="P192" s="13" t="s">
        <v>25</v>
      </c>
      <c r="Q192" s="13" t="s">
        <v>26</v>
      </c>
      <c r="R192" s="20"/>
      <c r="S192" s="21"/>
      <c r="T192" s="22"/>
    </row>
    <row r="193" spans="1:20" ht="15" thickBot="1" x14ac:dyDescent="0.35">
      <c r="A193" s="1">
        <f>A184-$C$9*O188</f>
        <v>-4.0585323209518176</v>
      </c>
      <c r="B193" s="1">
        <f>B184-$C$9*P188</f>
        <v>2.5954688128576615</v>
      </c>
      <c r="C193" s="1">
        <f>C184-$C$9*Q188</f>
        <v>2.647927586474192</v>
      </c>
      <c r="D193" s="1"/>
      <c r="E193" s="3">
        <v>0</v>
      </c>
      <c r="F193" s="3">
        <v>0</v>
      </c>
      <c r="G193" s="1">
        <f>A193+(B193*E193)+(C193*F193)</f>
        <v>-4.0585323209518176</v>
      </c>
      <c r="H193" s="1">
        <f>1/(1+EXP(-G193))</f>
        <v>1.6981017621272368E-2</v>
      </c>
      <c r="I193" s="10">
        <f>($C$4-H193)^2</f>
        <v>2.8835495945396267E-4</v>
      </c>
      <c r="J193" s="1">
        <f>2*(H193-$C$4)</f>
        <v>3.3962035242544736E-2</v>
      </c>
      <c r="K193" s="10">
        <f xml:space="preserve"> EXP(-G193)/POWER(1+EXP(-G193),2)</f>
        <v>1.6692662661818406E-2</v>
      </c>
      <c r="L193" s="1">
        <v>1</v>
      </c>
      <c r="M193" s="1">
        <f>E193</f>
        <v>0</v>
      </c>
      <c r="N193" s="10">
        <f>F193</f>
        <v>0</v>
      </c>
      <c r="O193" s="1">
        <f>J193*K193*L193</f>
        <v>5.669167976125873E-4</v>
      </c>
      <c r="P193" s="1">
        <f>J193*K193*M193</f>
        <v>0</v>
      </c>
      <c r="Q193" s="1">
        <f>J193*K193*N193</f>
        <v>0</v>
      </c>
      <c r="R193" s="20"/>
      <c r="S193" s="21"/>
      <c r="T193" s="22"/>
    </row>
    <row r="194" spans="1:20" ht="15" thickBot="1" x14ac:dyDescent="0.35">
      <c r="A194" s="1"/>
      <c r="B194" s="1"/>
      <c r="C194" s="1"/>
      <c r="D194" s="1"/>
      <c r="E194" s="3">
        <v>0</v>
      </c>
      <c r="F194" s="3">
        <v>1</v>
      </c>
      <c r="G194" s="1">
        <f>A193+(B193*E194)+(C193*F194)</f>
        <v>-1.4106047344776256</v>
      </c>
      <c r="H194" s="1">
        <f t="shared" ref="H194:H195" si="143">1/(1+EXP(-G194))</f>
        <v>0.1961386913847154</v>
      </c>
      <c r="I194" s="10">
        <f>($C$5-H194)^2</f>
        <v>3.8470386258108634E-2</v>
      </c>
      <c r="J194" s="1">
        <f>2*(H194-$C$5)</f>
        <v>0.3922773827694308</v>
      </c>
      <c r="K194" s="10">
        <f t="shared" ref="K194:K196" si="144" xml:space="preserve"> EXP(-G194)/POWER(1+EXP(-G194),2)</f>
        <v>0.15766830512660679</v>
      </c>
      <c r="L194" s="1">
        <v>1</v>
      </c>
      <c r="M194" s="1">
        <f t="shared" ref="M194:M196" si="145">E194</f>
        <v>0</v>
      </c>
      <c r="N194" s="10">
        <f t="shared" ref="N194:N196" si="146">F194</f>
        <v>1</v>
      </c>
      <c r="O194" s="1">
        <f t="shared" ref="O194:O196" si="147">J194*K194*L194</f>
        <v>6.1849710080757341E-2</v>
      </c>
      <c r="P194" s="1">
        <f t="shared" ref="P194:P196" si="148">J194*K194*M194</f>
        <v>0</v>
      </c>
      <c r="Q194" s="1">
        <f t="shared" ref="Q194:Q196" si="149">J194*K194*N194</f>
        <v>6.1849710080757341E-2</v>
      </c>
      <c r="R194" s="20"/>
      <c r="S194" s="21"/>
      <c r="T194" s="22"/>
    </row>
    <row r="195" spans="1:20" ht="15" thickBot="1" x14ac:dyDescent="0.35">
      <c r="A195" s="1"/>
      <c r="B195" s="1"/>
      <c r="C195" s="1"/>
      <c r="D195" s="1"/>
      <c r="E195" s="3">
        <v>1</v>
      </c>
      <c r="F195" s="3">
        <v>0</v>
      </c>
      <c r="G195" s="1">
        <f>A193+(B193*E195)+(C193*F195)</f>
        <v>-1.4630635080941561</v>
      </c>
      <c r="H195" s="1">
        <f t="shared" si="143"/>
        <v>0.1879992167595847</v>
      </c>
      <c r="I195" s="10">
        <f>($C$6-H195)^2</f>
        <v>3.5343705502217312E-2</v>
      </c>
      <c r="J195" s="1">
        <f>2*(H195-$C$6)</f>
        <v>0.37599843351916939</v>
      </c>
      <c r="K195" s="10">
        <f t="shared" si="144"/>
        <v>0.15265551125736737</v>
      </c>
      <c r="L195" s="1">
        <v>1</v>
      </c>
      <c r="M195" s="1">
        <f t="shared" si="145"/>
        <v>1</v>
      </c>
      <c r="N195" s="10">
        <f t="shared" si="146"/>
        <v>0</v>
      </c>
      <c r="O195" s="1">
        <f t="shared" si="147"/>
        <v>5.739823310083806E-2</v>
      </c>
      <c r="P195" s="1">
        <f t="shared" si="148"/>
        <v>5.739823310083806E-2</v>
      </c>
      <c r="Q195" s="1">
        <f t="shared" si="149"/>
        <v>0</v>
      </c>
      <c r="R195" s="20"/>
      <c r="S195" s="21"/>
      <c r="T195" s="22"/>
    </row>
    <row r="196" spans="1:20" ht="15" thickBot="1" x14ac:dyDescent="0.35">
      <c r="A196" s="1"/>
      <c r="B196" s="1"/>
      <c r="C196" s="1"/>
      <c r="D196" s="1"/>
      <c r="E196" s="3">
        <v>1</v>
      </c>
      <c r="F196" s="3">
        <v>1</v>
      </c>
      <c r="G196" s="1">
        <f>A193+(B193*E196)+(C193*F196)</f>
        <v>1.1848640783800359</v>
      </c>
      <c r="H196" s="1">
        <f>1/(1+EXP(-G196))</f>
        <v>0.76582125064460471</v>
      </c>
      <c r="I196" s="10">
        <f>($C$7-H196)^2</f>
        <v>5.4839686649657049E-2</v>
      </c>
      <c r="J196" s="1">
        <f>2*(H196-$C$7)</f>
        <v>-0.46835749871079058</v>
      </c>
      <c r="K196" s="10">
        <f t="shared" si="144"/>
        <v>0.17933906270573824</v>
      </c>
      <c r="L196" s="1">
        <v>1</v>
      </c>
      <c r="M196" s="1">
        <f t="shared" si="145"/>
        <v>1</v>
      </c>
      <c r="N196" s="10">
        <f t="shared" si="146"/>
        <v>1</v>
      </c>
      <c r="O196" s="1">
        <f t="shared" si="147"/>
        <v>-8.3994794829997194E-2</v>
      </c>
      <c r="P196" s="1">
        <f t="shared" si="148"/>
        <v>-8.3994794829997194E-2</v>
      </c>
      <c r="Q196" s="1">
        <f t="shared" si="149"/>
        <v>-8.3994794829997194E-2</v>
      </c>
      <c r="R196" s="20"/>
      <c r="S196" s="21"/>
      <c r="T196" s="22"/>
    </row>
    <row r="197" spans="1:20" ht="15" thickBot="1" x14ac:dyDescent="0.35">
      <c r="A197" s="1"/>
      <c r="B197" s="1"/>
      <c r="C197" s="1"/>
      <c r="D197" s="1"/>
      <c r="E197" s="1"/>
      <c r="F197" s="1"/>
      <c r="G197" s="1"/>
      <c r="H197" s="1"/>
      <c r="I197" s="10">
        <f>SUM(I193:I196)</f>
        <v>0.12894213336943697</v>
      </c>
      <c r="J197" s="1"/>
      <c r="K197" s="1"/>
      <c r="L197" s="1"/>
      <c r="M197" s="1"/>
      <c r="N197" s="1"/>
      <c r="O197" s="1">
        <f>AVERAGE(O193:O196)</f>
        <v>8.9550162873026987E-3</v>
      </c>
      <c r="P197" s="1">
        <f>AVERAGE(P193:P196)</f>
        <v>-6.6491404322897834E-3</v>
      </c>
      <c r="Q197" s="1">
        <f>AVERAGE(Q193:Q196)</f>
        <v>-5.5362711873099633E-3</v>
      </c>
      <c r="R197" s="1"/>
      <c r="S197" s="1"/>
      <c r="T197" s="1"/>
    </row>
    <row r="198" spans="1:20" ht="15" thickBot="1" x14ac:dyDescent="0.35"/>
    <row r="199" spans="1:20" ht="15" thickBot="1" x14ac:dyDescent="0.35">
      <c r="A199" s="1" t="s">
        <v>27</v>
      </c>
      <c r="B199" s="3">
        <v>21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20" ht="15" thickBot="1" x14ac:dyDescent="0.35">
      <c r="A200" s="8" t="s">
        <v>7</v>
      </c>
      <c r="B200" s="20" t="s">
        <v>8</v>
      </c>
      <c r="C200" s="22"/>
      <c r="D200" s="1"/>
      <c r="E200" s="20" t="s">
        <v>9</v>
      </c>
      <c r="F200" s="22"/>
      <c r="G200" s="7"/>
      <c r="H200" s="8" t="s">
        <v>10</v>
      </c>
      <c r="I200" s="9" t="s">
        <v>11</v>
      </c>
      <c r="J200" s="1"/>
      <c r="K200" s="10"/>
      <c r="L200" s="23" t="s">
        <v>12</v>
      </c>
      <c r="M200" s="16"/>
      <c r="N200" s="24"/>
      <c r="O200" s="25" t="s">
        <v>13</v>
      </c>
      <c r="P200" s="26"/>
      <c r="Q200" s="27"/>
    </row>
    <row r="201" spans="1:20" ht="15" thickBot="1" x14ac:dyDescent="0.35">
      <c r="A201" s="11" t="s">
        <v>14</v>
      </c>
      <c r="B201" s="11" t="s">
        <v>15</v>
      </c>
      <c r="C201" s="11" t="s">
        <v>16</v>
      </c>
      <c r="D201" s="4"/>
      <c r="E201" s="11" t="s">
        <v>17</v>
      </c>
      <c r="F201" s="11" t="s">
        <v>18</v>
      </c>
      <c r="G201" s="11" t="s">
        <v>19</v>
      </c>
      <c r="H201" s="11" t="s">
        <v>20</v>
      </c>
      <c r="I201" s="12" t="s">
        <v>21</v>
      </c>
      <c r="J201" s="13" t="s">
        <v>22</v>
      </c>
      <c r="K201" s="14" t="s">
        <v>23</v>
      </c>
      <c r="L201" s="13" t="s">
        <v>24</v>
      </c>
      <c r="M201" s="13" t="s">
        <v>25</v>
      </c>
      <c r="N201" s="14" t="s">
        <v>26</v>
      </c>
      <c r="O201" s="13" t="s">
        <v>24</v>
      </c>
      <c r="P201" s="13" t="s">
        <v>25</v>
      </c>
      <c r="Q201" s="13" t="s">
        <v>26</v>
      </c>
    </row>
    <row r="202" spans="1:20" ht="15" thickBot="1" x14ac:dyDescent="0.35">
      <c r="A202" s="1">
        <f>A193-$C$9*O197</f>
        <v>-4.1480824838248447</v>
      </c>
      <c r="B202" s="1">
        <f>B193-$C$9*P197</f>
        <v>2.6619602171805594</v>
      </c>
      <c r="C202" s="1">
        <f>C193-$C$9*Q197</f>
        <v>2.7032902983472917</v>
      </c>
      <c r="D202" s="1"/>
      <c r="E202" s="3">
        <v>0</v>
      </c>
      <c r="F202" s="3">
        <v>0</v>
      </c>
      <c r="G202" s="1">
        <f>A202+(B202*E202)+(C202*F202)</f>
        <v>-4.1480824838248447</v>
      </c>
      <c r="H202" s="1">
        <f>1/(1+EXP(-G202))</f>
        <v>1.5549081337960942E-2</v>
      </c>
      <c r="I202" s="10">
        <f>($C$4-H202)^2</f>
        <v>2.4177393045452523E-4</v>
      </c>
      <c r="J202" s="1">
        <f>2*(H202-$C$4)</f>
        <v>3.1098162675921883E-2</v>
      </c>
      <c r="K202" s="10">
        <f xml:space="preserve"> EXP(-G202)/POWER(1+EXP(-G202),2)</f>
        <v>1.5307307407506417E-2</v>
      </c>
      <c r="L202" s="1">
        <v>1</v>
      </c>
      <c r="M202" s="1">
        <f>E202</f>
        <v>0</v>
      </c>
      <c r="N202" s="10">
        <f>F202</f>
        <v>0</v>
      </c>
      <c r="O202" s="1">
        <f>J202*K202*L202</f>
        <v>4.7602913588897861E-4</v>
      </c>
      <c r="P202" s="1">
        <f>J202*K202*M202</f>
        <v>0</v>
      </c>
      <c r="Q202" s="1">
        <f>J202*K202*N202</f>
        <v>0</v>
      </c>
    </row>
    <row r="203" spans="1:20" ht="15" thickBot="1" x14ac:dyDescent="0.35">
      <c r="A203" s="1"/>
      <c r="B203" s="1"/>
      <c r="C203" s="1"/>
      <c r="D203" s="1"/>
      <c r="E203" s="3">
        <v>0</v>
      </c>
      <c r="F203" s="3">
        <v>1</v>
      </c>
      <c r="G203" s="1">
        <f>A202+(B202*E203)+(C202*F203)</f>
        <v>-1.4447921854775529</v>
      </c>
      <c r="H203" s="1">
        <f t="shared" ref="H203:H204" si="150">1/(1+EXP(-G203))</f>
        <v>0.19080434793499831</v>
      </c>
      <c r="I203" s="10">
        <f>($C$5-H203)^2</f>
        <v>3.6406299190899896E-2</v>
      </c>
      <c r="J203" s="1">
        <f>2*(H203-$C$5)</f>
        <v>0.38160869586999663</v>
      </c>
      <c r="K203" s="10">
        <f t="shared" ref="K203:K205" si="151" xml:space="preserve"> EXP(-G203)/POWER(1+EXP(-G203),2)</f>
        <v>0.1543980487440984</v>
      </c>
      <c r="L203" s="1">
        <v>1</v>
      </c>
      <c r="M203" s="1">
        <f t="shared" ref="M203:M205" si="152">E203</f>
        <v>0</v>
      </c>
      <c r="N203" s="10">
        <f t="shared" ref="N203:N205" si="153">F203</f>
        <v>1</v>
      </c>
      <c r="O203" s="1">
        <f t="shared" ref="O203:O205" si="154">J203*K203*L203</f>
        <v>5.8919638026107564E-2</v>
      </c>
      <c r="P203" s="1">
        <f t="shared" ref="P203:P205" si="155">J203*K203*M203</f>
        <v>0</v>
      </c>
      <c r="Q203" s="1">
        <f t="shared" ref="Q203:Q205" si="156">J203*K203*N203</f>
        <v>5.8919638026107564E-2</v>
      </c>
    </row>
    <row r="204" spans="1:20" ht="15" thickBot="1" x14ac:dyDescent="0.35">
      <c r="A204" s="1"/>
      <c r="B204" s="1"/>
      <c r="C204" s="1"/>
      <c r="D204" s="1"/>
      <c r="E204" s="3">
        <v>1</v>
      </c>
      <c r="F204" s="3">
        <v>0</v>
      </c>
      <c r="G204" s="1">
        <f>A202+(B202*E204)+(C202*F204)</f>
        <v>-1.4861222666442853</v>
      </c>
      <c r="H204" s="1">
        <f t="shared" si="150"/>
        <v>0.18450446748314805</v>
      </c>
      <c r="I204" s="10">
        <f>($C$6-H204)^2</f>
        <v>3.4041898521240038E-2</v>
      </c>
      <c r="J204" s="1">
        <f>2*(H204-$C$6)</f>
        <v>0.36900893496629611</v>
      </c>
      <c r="K204" s="10">
        <f t="shared" si="151"/>
        <v>0.15046256896190802</v>
      </c>
      <c r="L204" s="1">
        <v>1</v>
      </c>
      <c r="M204" s="1">
        <f t="shared" si="152"/>
        <v>1</v>
      </c>
      <c r="N204" s="10">
        <f t="shared" si="153"/>
        <v>0</v>
      </c>
      <c r="O204" s="1">
        <f t="shared" si="154"/>
        <v>5.5522032324926557E-2</v>
      </c>
      <c r="P204" s="1">
        <f t="shared" si="155"/>
        <v>5.5522032324926557E-2</v>
      </c>
      <c r="Q204" s="1">
        <f t="shared" si="156"/>
        <v>0</v>
      </c>
    </row>
    <row r="205" spans="1:20" ht="15" thickBot="1" x14ac:dyDescent="0.35">
      <c r="A205" s="1"/>
      <c r="B205" s="1"/>
      <c r="C205" s="1"/>
      <c r="D205" s="1"/>
      <c r="E205" s="3">
        <v>1</v>
      </c>
      <c r="F205" s="3">
        <v>1</v>
      </c>
      <c r="G205" s="1">
        <f>A202+(B202*E205)+(C202*F205)</f>
        <v>1.2171680317030065</v>
      </c>
      <c r="H205" s="1">
        <f>1/(1+EXP(-G205))</f>
        <v>0.7715647916628936</v>
      </c>
      <c r="I205" s="10">
        <f>($C$7-H205)^2</f>
        <v>5.2182644408017204E-2</v>
      </c>
      <c r="J205" s="1">
        <f>2*(H205-$C$7)</f>
        <v>-0.4568704166742128</v>
      </c>
      <c r="K205" s="10">
        <f t="shared" si="151"/>
        <v>0.17625256392908922</v>
      </c>
      <c r="L205" s="1">
        <v>1</v>
      </c>
      <c r="M205" s="1">
        <f t="shared" si="152"/>
        <v>1</v>
      </c>
      <c r="N205" s="10">
        <f t="shared" si="153"/>
        <v>1</v>
      </c>
      <c r="O205" s="1">
        <f t="shared" si="154"/>
        <v>-8.0524582322181321E-2</v>
      </c>
      <c r="P205" s="1">
        <f t="shared" si="155"/>
        <v>-8.0524582322181321E-2</v>
      </c>
      <c r="Q205" s="1">
        <f t="shared" si="156"/>
        <v>-8.0524582322181321E-2</v>
      </c>
    </row>
    <row r="206" spans="1:20" ht="15" thickBot="1" x14ac:dyDescent="0.35">
      <c r="A206" s="1"/>
      <c r="B206" s="1"/>
      <c r="C206" s="1"/>
      <c r="D206" s="1"/>
      <c r="E206" s="1"/>
      <c r="F206" s="1"/>
      <c r="G206" s="1"/>
      <c r="H206" s="1"/>
      <c r="I206" s="10">
        <f>SUM(I202:I205)</f>
        <v>0.12287261605061167</v>
      </c>
      <c r="J206" s="1"/>
      <c r="K206" s="1"/>
      <c r="L206" s="1"/>
      <c r="M206" s="1"/>
      <c r="N206" s="1"/>
      <c r="O206" s="1">
        <f>AVERAGE(O202:O205)</f>
        <v>8.5982792911854442E-3</v>
      </c>
      <c r="P206" s="1">
        <f>AVERAGE(P202:P205)</f>
        <v>-6.2506374993136909E-3</v>
      </c>
      <c r="Q206" s="1">
        <f>AVERAGE(Q202:Q205)</f>
        <v>-5.4012360740184392E-3</v>
      </c>
    </row>
    <row r="207" spans="1:20" ht="15" thickBot="1" x14ac:dyDescent="0.35"/>
    <row r="208" spans="1:20" ht="15" thickBot="1" x14ac:dyDescent="0.35">
      <c r="A208" s="1" t="s">
        <v>27</v>
      </c>
      <c r="B208" s="3">
        <v>22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 thickBot="1" x14ac:dyDescent="0.35">
      <c r="A209" s="8" t="s">
        <v>7</v>
      </c>
      <c r="B209" s="20" t="s">
        <v>8</v>
      </c>
      <c r="C209" s="22"/>
      <c r="D209" s="1"/>
      <c r="E209" s="20" t="s">
        <v>9</v>
      </c>
      <c r="F209" s="22"/>
      <c r="G209" s="7"/>
      <c r="H209" s="8" t="s">
        <v>10</v>
      </c>
      <c r="I209" s="9" t="s">
        <v>11</v>
      </c>
      <c r="J209" s="1"/>
      <c r="K209" s="10"/>
      <c r="L209" s="23" t="s">
        <v>12</v>
      </c>
      <c r="M209" s="16"/>
      <c r="N209" s="24"/>
      <c r="O209" s="25" t="s">
        <v>13</v>
      </c>
      <c r="P209" s="26"/>
      <c r="Q209" s="27"/>
    </row>
    <row r="210" spans="1:17" ht="15" thickBot="1" x14ac:dyDescent="0.35">
      <c r="A210" s="11" t="s">
        <v>14</v>
      </c>
      <c r="B210" s="11" t="s">
        <v>15</v>
      </c>
      <c r="C210" s="11" t="s">
        <v>16</v>
      </c>
      <c r="D210" s="4"/>
      <c r="E210" s="11" t="s">
        <v>17</v>
      </c>
      <c r="F210" s="11" t="s">
        <v>18</v>
      </c>
      <c r="G210" s="11" t="s">
        <v>19</v>
      </c>
      <c r="H210" s="11" t="s">
        <v>20</v>
      </c>
      <c r="I210" s="12" t="s">
        <v>21</v>
      </c>
      <c r="J210" s="13" t="s">
        <v>22</v>
      </c>
      <c r="K210" s="14" t="s">
        <v>23</v>
      </c>
      <c r="L210" s="13" t="s">
        <v>24</v>
      </c>
      <c r="M210" s="13" t="s">
        <v>25</v>
      </c>
      <c r="N210" s="14" t="s">
        <v>26</v>
      </c>
      <c r="O210" s="13" t="s">
        <v>24</v>
      </c>
      <c r="P210" s="13" t="s">
        <v>25</v>
      </c>
      <c r="Q210" s="13" t="s">
        <v>26</v>
      </c>
    </row>
    <row r="211" spans="1:17" ht="15" thickBot="1" x14ac:dyDescent="0.35">
      <c r="A211" s="1">
        <f>A202-$C$9*O206</f>
        <v>-4.2340652767366995</v>
      </c>
      <c r="B211" s="1">
        <f>B202-$C$9*P206</f>
        <v>2.7244665921736964</v>
      </c>
      <c r="C211" s="1">
        <f>C202-$C$9*Q206</f>
        <v>2.7573026590874763</v>
      </c>
      <c r="D211" s="1"/>
      <c r="E211" s="3">
        <v>0</v>
      </c>
      <c r="F211" s="3">
        <v>0</v>
      </c>
      <c r="G211" s="1">
        <f>A211+(B211*E211)+(C211*F211)</f>
        <v>-4.2340652767366995</v>
      </c>
      <c r="H211" s="1">
        <f>1/(1+EXP(-G211))</f>
        <v>1.4286294852927515E-2</v>
      </c>
      <c r="I211" s="10">
        <f>($C$4-H211)^2</f>
        <v>2.040982206247832E-4</v>
      </c>
      <c r="J211" s="1">
        <f>2*(H211-$C$4)</f>
        <v>2.857258970585503E-2</v>
      </c>
      <c r="K211" s="10">
        <f xml:space="preserve"> EXP(-G211)/POWER(1+EXP(-G211),2)</f>
        <v>1.4082196632302731E-2</v>
      </c>
      <c r="L211" s="1">
        <v>1</v>
      </c>
      <c r="M211" s="1">
        <f>E211</f>
        <v>0</v>
      </c>
      <c r="N211" s="10">
        <f>F211</f>
        <v>0</v>
      </c>
      <c r="O211" s="1">
        <f>J211*K211*L211</f>
        <v>4.0236482653195936E-4</v>
      </c>
      <c r="P211" s="1">
        <f>J211*K211*M211</f>
        <v>0</v>
      </c>
      <c r="Q211" s="1">
        <f>J211*K211*N211</f>
        <v>0</v>
      </c>
    </row>
    <row r="212" spans="1:17" ht="15" thickBot="1" x14ac:dyDescent="0.35">
      <c r="A212" s="1"/>
      <c r="B212" s="1"/>
      <c r="C212" s="1"/>
      <c r="D212" s="1"/>
      <c r="E212" s="3">
        <v>0</v>
      </c>
      <c r="F212" s="3">
        <v>1</v>
      </c>
      <c r="G212" s="1">
        <f>A211+(B211*E212)+(C211*F212)</f>
        <v>-1.4767626176492232</v>
      </c>
      <c r="H212" s="1">
        <f t="shared" ref="H212:H213" si="157">1/(1+EXP(-G212))</f>
        <v>0.18591690482939519</v>
      </c>
      <c r="I212" s="10">
        <f>($C$5-H212)^2</f>
        <v>3.4565095501342388E-2</v>
      </c>
      <c r="J212" s="1">
        <f>2*(H212-$C$5)</f>
        <v>0.37183380965879037</v>
      </c>
      <c r="K212" s="10">
        <f t="shared" ref="K212:K214" si="158" xml:space="preserve"> EXP(-G212)/POWER(1+EXP(-G212),2)</f>
        <v>0.15135180932805281</v>
      </c>
      <c r="L212" s="1">
        <v>1</v>
      </c>
      <c r="M212" s="1">
        <f t="shared" ref="M212:M214" si="159">E212</f>
        <v>0</v>
      </c>
      <c r="N212" s="10">
        <f t="shared" ref="N212:N214" si="160">F212</f>
        <v>1</v>
      </c>
      <c r="O212" s="1">
        <f t="shared" ref="O212:O214" si="161">J212*K212*L212</f>
        <v>5.6277719861200719E-2</v>
      </c>
      <c r="P212" s="1">
        <f t="shared" ref="P212:P214" si="162">J212*K212*M212</f>
        <v>0</v>
      </c>
      <c r="Q212" s="1">
        <f t="shared" ref="Q212:Q214" si="163">J212*K212*N212</f>
        <v>5.6277719861200719E-2</v>
      </c>
    </row>
    <row r="213" spans="1:17" ht="15" thickBot="1" x14ac:dyDescent="0.35">
      <c r="A213" s="1"/>
      <c r="B213" s="1"/>
      <c r="C213" s="1"/>
      <c r="D213" s="1"/>
      <c r="E213" s="3">
        <v>1</v>
      </c>
      <c r="F213" s="3">
        <v>0</v>
      </c>
      <c r="G213" s="1">
        <f>A211+(B211*E213)+(C211*F213)</f>
        <v>-1.5095986845630032</v>
      </c>
      <c r="H213" s="1">
        <f t="shared" si="157"/>
        <v>0.18099827569394364</v>
      </c>
      <c r="I213" s="10">
        <f>($C$6-H213)^2</f>
        <v>3.2760375804180827E-2</v>
      </c>
      <c r="J213" s="1">
        <f>2*(H213-$C$6)</f>
        <v>0.36199655138788728</v>
      </c>
      <c r="K213" s="10">
        <f t="shared" si="158"/>
        <v>0.1482378998897628</v>
      </c>
      <c r="L213" s="1">
        <v>1</v>
      </c>
      <c r="M213" s="1">
        <f t="shared" si="159"/>
        <v>1</v>
      </c>
      <c r="N213" s="10">
        <f t="shared" si="160"/>
        <v>0</v>
      </c>
      <c r="O213" s="1">
        <f t="shared" si="161"/>
        <v>5.3661608545077011E-2</v>
      </c>
      <c r="P213" s="1">
        <f t="shared" si="162"/>
        <v>5.3661608545077011E-2</v>
      </c>
      <c r="Q213" s="1">
        <f t="shared" si="163"/>
        <v>0</v>
      </c>
    </row>
    <row r="214" spans="1:17" ht="15" thickBot="1" x14ac:dyDescent="0.35">
      <c r="A214" s="1"/>
      <c r="B214" s="1"/>
      <c r="C214" s="1"/>
      <c r="D214" s="1"/>
      <c r="E214" s="3">
        <v>1</v>
      </c>
      <c r="F214" s="3">
        <v>1</v>
      </c>
      <c r="G214" s="1">
        <f>A211+(B211*E214)+(C211*F214)</f>
        <v>1.2477039745244731</v>
      </c>
      <c r="H214" s="1">
        <f>1/(1+EXP(-G214))</f>
        <v>0.77690215513405447</v>
      </c>
      <c r="I214" s="10">
        <f>($C$7-H214)^2</f>
        <v>4.9772648383829499E-2</v>
      </c>
      <c r="J214" s="1">
        <f>2*(H214-$C$7)</f>
        <v>-0.44619568973189105</v>
      </c>
      <c r="K214" s="10">
        <f t="shared" si="158"/>
        <v>0.17332519648211603</v>
      </c>
      <c r="L214" s="1">
        <v>1</v>
      </c>
      <c r="M214" s="1">
        <f t="shared" si="159"/>
        <v>1</v>
      </c>
      <c r="N214" s="10">
        <f t="shared" si="160"/>
        <v>1</v>
      </c>
      <c r="O214" s="1">
        <f t="shared" si="161"/>
        <v>-7.7336955592253301E-2</v>
      </c>
      <c r="P214" s="1">
        <f t="shared" si="162"/>
        <v>-7.7336955592253301E-2</v>
      </c>
      <c r="Q214" s="1">
        <f t="shared" si="163"/>
        <v>-7.7336955592253301E-2</v>
      </c>
    </row>
    <row r="215" spans="1:17" ht="15" thickBot="1" x14ac:dyDescent="0.35">
      <c r="A215" s="1"/>
      <c r="B215" s="1"/>
      <c r="C215" s="1"/>
      <c r="D215" s="1"/>
      <c r="E215" s="1"/>
      <c r="F215" s="1"/>
      <c r="G215" s="1"/>
      <c r="H215" s="1"/>
      <c r="I215" s="10">
        <f>SUM(I211:I214)</f>
        <v>0.1173022179099775</v>
      </c>
      <c r="J215" s="1"/>
      <c r="K215" s="1"/>
      <c r="L215" s="1"/>
      <c r="M215" s="1"/>
      <c r="N215" s="1"/>
      <c r="O215" s="1">
        <f>AVERAGE(O211:O214)</f>
        <v>8.2511844101390945E-3</v>
      </c>
      <c r="P215" s="1">
        <f>AVERAGE(P211:P214)</f>
        <v>-5.9188367617940725E-3</v>
      </c>
      <c r="Q215" s="1">
        <f>AVERAGE(Q211:Q214)</f>
        <v>-5.2648089327631455E-3</v>
      </c>
    </row>
    <row r="216" spans="1:17" ht="15" thickBot="1" x14ac:dyDescent="0.35"/>
    <row r="217" spans="1:17" ht="15" thickBot="1" x14ac:dyDescent="0.35">
      <c r="A217" s="1" t="s">
        <v>27</v>
      </c>
      <c r="B217" s="3">
        <v>23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 thickBot="1" x14ac:dyDescent="0.35">
      <c r="A218" s="8" t="s">
        <v>7</v>
      </c>
      <c r="B218" s="20" t="s">
        <v>8</v>
      </c>
      <c r="C218" s="22"/>
      <c r="D218" s="1"/>
      <c r="E218" s="20" t="s">
        <v>9</v>
      </c>
      <c r="F218" s="22"/>
      <c r="G218" s="7"/>
      <c r="H218" s="8" t="s">
        <v>10</v>
      </c>
      <c r="I218" s="9" t="s">
        <v>11</v>
      </c>
      <c r="J218" s="1"/>
      <c r="K218" s="10"/>
      <c r="L218" s="23" t="s">
        <v>12</v>
      </c>
      <c r="M218" s="16"/>
      <c r="N218" s="24"/>
      <c r="O218" s="25" t="s">
        <v>13</v>
      </c>
      <c r="P218" s="26"/>
      <c r="Q218" s="27"/>
    </row>
    <row r="219" spans="1:17" ht="15" thickBot="1" x14ac:dyDescent="0.35">
      <c r="A219" s="11" t="s">
        <v>14</v>
      </c>
      <c r="B219" s="11" t="s">
        <v>15</v>
      </c>
      <c r="C219" s="11" t="s">
        <v>16</v>
      </c>
      <c r="D219" s="4"/>
      <c r="E219" s="11" t="s">
        <v>17</v>
      </c>
      <c r="F219" s="11" t="s">
        <v>18</v>
      </c>
      <c r="G219" s="11" t="s">
        <v>19</v>
      </c>
      <c r="H219" s="11" t="s">
        <v>20</v>
      </c>
      <c r="I219" s="12" t="s">
        <v>21</v>
      </c>
      <c r="J219" s="13" t="s">
        <v>22</v>
      </c>
      <c r="K219" s="14" t="s">
        <v>23</v>
      </c>
      <c r="L219" s="13" t="s">
        <v>24</v>
      </c>
      <c r="M219" s="13" t="s">
        <v>25</v>
      </c>
      <c r="N219" s="14" t="s">
        <v>26</v>
      </c>
      <c r="O219" s="13" t="s">
        <v>24</v>
      </c>
      <c r="P219" s="13" t="s">
        <v>25</v>
      </c>
      <c r="Q219" s="13" t="s">
        <v>26</v>
      </c>
    </row>
    <row r="220" spans="1:17" ht="15" thickBot="1" x14ac:dyDescent="0.35">
      <c r="A220" s="1">
        <f>A211-$C$9*O215</f>
        <v>-4.3165771208380903</v>
      </c>
      <c r="B220" s="1">
        <f>B211-$C$9*P215</f>
        <v>2.7836549597916371</v>
      </c>
      <c r="C220" s="1">
        <f>C211-$C$9*Q215</f>
        <v>2.8099507484151078</v>
      </c>
      <c r="D220" s="1"/>
      <c r="E220" s="3">
        <v>0</v>
      </c>
      <c r="F220" s="3">
        <v>0</v>
      </c>
      <c r="G220" s="1">
        <f>A220+(B220*E220)+(C220*F220)</f>
        <v>-4.3165771208380903</v>
      </c>
      <c r="H220" s="1">
        <f>1/(1+EXP(-G220))</f>
        <v>1.3169729010324316E-2</v>
      </c>
      <c r="I220" s="10">
        <f>($C$4-H220)^2</f>
        <v>1.734417622053779E-4</v>
      </c>
      <c r="J220" s="1">
        <f>2*(H220-$C$4)</f>
        <v>2.6339458020648632E-2</v>
      </c>
      <c r="K220" s="10">
        <f xml:space="preserve"> EXP(-G220)/POWER(1+EXP(-G220),2)</f>
        <v>1.2996287248118937E-2</v>
      </c>
      <c r="L220" s="1">
        <v>1</v>
      </c>
      <c r="M220" s="1">
        <f>E220</f>
        <v>0</v>
      </c>
      <c r="N220" s="10">
        <f>F220</f>
        <v>0</v>
      </c>
      <c r="O220" s="1">
        <f>J220*K220*L220</f>
        <v>3.4231516239611987E-4</v>
      </c>
      <c r="P220" s="1">
        <f>J220*K220*M220</f>
        <v>0</v>
      </c>
      <c r="Q220" s="1">
        <f>J220*K220*N220</f>
        <v>0</v>
      </c>
    </row>
    <row r="221" spans="1:17" ht="15" thickBot="1" x14ac:dyDescent="0.35">
      <c r="A221" s="1"/>
      <c r="B221" s="1"/>
      <c r="C221" s="1"/>
      <c r="D221" s="1"/>
      <c r="E221" s="3">
        <v>0</v>
      </c>
      <c r="F221" s="3">
        <v>1</v>
      </c>
      <c r="G221" s="1">
        <f>A220+(B220*E221)+(C220*F221)</f>
        <v>-1.5066263724229825</v>
      </c>
      <c r="H221" s="1">
        <f t="shared" ref="H221:H222" si="164">1/(1+EXP(-G221))</f>
        <v>0.18143930284861123</v>
      </c>
      <c r="I221" s="10">
        <f>($C$5-H221)^2</f>
        <v>3.2920220618190062E-2</v>
      </c>
      <c r="J221" s="1">
        <f>2*(H221-$C$5)</f>
        <v>0.36287860569722247</v>
      </c>
      <c r="K221" s="10">
        <f t="shared" ref="K221:K223" si="165" xml:space="preserve"> EXP(-G221)/POWER(1+EXP(-G221),2)</f>
        <v>0.14851908223042118</v>
      </c>
      <c r="L221" s="1">
        <v>1</v>
      </c>
      <c r="M221" s="1">
        <f t="shared" ref="M221:M223" si="166">E221</f>
        <v>0</v>
      </c>
      <c r="N221" s="10">
        <f t="shared" ref="N221:N223" si="167">F221</f>
        <v>1</v>
      </c>
      <c r="O221" s="1">
        <f t="shared" ref="O221:O223" si="168">J221*K221*L221</f>
        <v>5.3894397479206366E-2</v>
      </c>
      <c r="P221" s="1">
        <f t="shared" ref="P221:P223" si="169">J221*K221*M221</f>
        <v>0</v>
      </c>
      <c r="Q221" s="1">
        <f t="shared" ref="Q221:Q223" si="170">J221*K221*N221</f>
        <v>5.3894397479206366E-2</v>
      </c>
    </row>
    <row r="222" spans="1:17" ht="15" thickBot="1" x14ac:dyDescent="0.35">
      <c r="A222" s="1"/>
      <c r="B222" s="1"/>
      <c r="C222" s="1"/>
      <c r="D222" s="1"/>
      <c r="E222" s="3">
        <v>1</v>
      </c>
      <c r="F222" s="3">
        <v>0</v>
      </c>
      <c r="G222" s="1">
        <f>A220+(B220*E222)+(C220*F222)</f>
        <v>-1.5329221610464532</v>
      </c>
      <c r="H222" s="1">
        <f t="shared" si="164"/>
        <v>0.17756654098092514</v>
      </c>
      <c r="I222" s="10">
        <f>($C$6-H222)^2</f>
        <v>3.1529876475930571E-2</v>
      </c>
      <c r="J222" s="1">
        <f>2*(H222-$C$6)</f>
        <v>0.35513308196185028</v>
      </c>
      <c r="K222" s="10">
        <f t="shared" si="165"/>
        <v>0.14603666450499458</v>
      </c>
      <c r="L222" s="1">
        <v>1</v>
      </c>
      <c r="M222" s="1">
        <f t="shared" si="166"/>
        <v>1</v>
      </c>
      <c r="N222" s="10">
        <f t="shared" si="167"/>
        <v>0</v>
      </c>
      <c r="O222" s="1">
        <f t="shared" si="168"/>
        <v>5.1862450745087475E-2</v>
      </c>
      <c r="P222" s="1">
        <f t="shared" si="169"/>
        <v>5.1862450745087475E-2</v>
      </c>
      <c r="Q222" s="1">
        <f t="shared" si="170"/>
        <v>0</v>
      </c>
    </row>
    <row r="223" spans="1:17" ht="15" thickBot="1" x14ac:dyDescent="0.35">
      <c r="A223" s="1"/>
      <c r="B223" s="1"/>
      <c r="C223" s="1"/>
      <c r="D223" s="1"/>
      <c r="E223" s="3">
        <v>1</v>
      </c>
      <c r="F223" s="3">
        <v>1</v>
      </c>
      <c r="G223" s="1">
        <f>A220+(B220*E223)+(C220*F223)</f>
        <v>1.2770285873686547</v>
      </c>
      <c r="H223" s="1">
        <f>1/(1+EXP(-G223))</f>
        <v>0.78194355176517472</v>
      </c>
      <c r="I223" s="10">
        <f>($C$7-H223)^2</f>
        <v>4.7548614616787041E-2</v>
      </c>
      <c r="J223" s="1">
        <f>2*(H223-$C$7)</f>
        <v>-0.43611289646965057</v>
      </c>
      <c r="K223" s="10">
        <f t="shared" si="165"/>
        <v>0.17050783361803823</v>
      </c>
      <c r="L223" s="1">
        <v>1</v>
      </c>
      <c r="M223" s="1">
        <f t="shared" si="166"/>
        <v>1</v>
      </c>
      <c r="N223" s="10">
        <f t="shared" si="167"/>
        <v>1</v>
      </c>
      <c r="O223" s="1">
        <f t="shared" si="168"/>
        <v>-7.4360665189927913E-2</v>
      </c>
      <c r="P223" s="1">
        <f t="shared" si="169"/>
        <v>-7.4360665189927913E-2</v>
      </c>
      <c r="Q223" s="1">
        <f t="shared" si="170"/>
        <v>-7.4360665189927913E-2</v>
      </c>
    </row>
    <row r="224" spans="1:17" ht="15" thickBot="1" x14ac:dyDescent="0.35">
      <c r="A224" s="1"/>
      <c r="B224" s="1"/>
      <c r="C224" s="1"/>
      <c r="D224" s="1"/>
      <c r="E224" s="1"/>
      <c r="F224" s="1"/>
      <c r="G224" s="1"/>
      <c r="H224" s="1"/>
      <c r="I224" s="10">
        <f>SUM(I220:I223)</f>
        <v>0.11217215347311306</v>
      </c>
      <c r="J224" s="1"/>
      <c r="K224" s="1"/>
      <c r="L224" s="1"/>
      <c r="M224" s="1"/>
      <c r="N224" s="1"/>
      <c r="O224" s="1">
        <f>AVERAGE(O220:O223)</f>
        <v>7.9346245491905103E-3</v>
      </c>
      <c r="P224" s="1">
        <f>AVERAGE(P220:P223)</f>
        <v>-5.6245536112101095E-3</v>
      </c>
      <c r="Q224" s="1">
        <f>AVERAGE(Q220:Q223)</f>
        <v>-5.1165669276803868E-3</v>
      </c>
    </row>
    <row r="225" spans="1:17" ht="15" thickBot="1" x14ac:dyDescent="0.35"/>
    <row r="226" spans="1:17" ht="15" thickBot="1" x14ac:dyDescent="0.35">
      <c r="A226" s="1" t="s">
        <v>27</v>
      </c>
      <c r="B226" s="3">
        <v>24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 thickBot="1" x14ac:dyDescent="0.35">
      <c r="A227" s="8" t="s">
        <v>7</v>
      </c>
      <c r="B227" s="20" t="s">
        <v>8</v>
      </c>
      <c r="C227" s="22"/>
      <c r="D227" s="1"/>
      <c r="E227" s="20" t="s">
        <v>9</v>
      </c>
      <c r="F227" s="22"/>
      <c r="G227" s="7"/>
      <c r="H227" s="8" t="s">
        <v>10</v>
      </c>
      <c r="I227" s="9" t="s">
        <v>11</v>
      </c>
      <c r="J227" s="1"/>
      <c r="K227" s="10"/>
      <c r="L227" s="23" t="s">
        <v>12</v>
      </c>
      <c r="M227" s="16"/>
      <c r="N227" s="24"/>
      <c r="O227" s="25" t="s">
        <v>13</v>
      </c>
      <c r="P227" s="26"/>
      <c r="Q227" s="27"/>
    </row>
    <row r="228" spans="1:17" ht="15" thickBot="1" x14ac:dyDescent="0.35">
      <c r="A228" s="11" t="s">
        <v>14</v>
      </c>
      <c r="B228" s="11" t="s">
        <v>15</v>
      </c>
      <c r="C228" s="11" t="s">
        <v>16</v>
      </c>
      <c r="D228" s="4"/>
      <c r="E228" s="11" t="s">
        <v>17</v>
      </c>
      <c r="F228" s="11" t="s">
        <v>18</v>
      </c>
      <c r="G228" s="11" t="s">
        <v>19</v>
      </c>
      <c r="H228" s="11" t="s">
        <v>20</v>
      </c>
      <c r="I228" s="12" t="s">
        <v>21</v>
      </c>
      <c r="J228" s="13" t="s">
        <v>22</v>
      </c>
      <c r="K228" s="14" t="s">
        <v>23</v>
      </c>
      <c r="L228" s="13" t="s">
        <v>24</v>
      </c>
      <c r="M228" s="13" t="s">
        <v>25</v>
      </c>
      <c r="N228" s="14" t="s">
        <v>26</v>
      </c>
      <c r="O228" s="13" t="s">
        <v>24</v>
      </c>
      <c r="P228" s="13" t="s">
        <v>25</v>
      </c>
      <c r="Q228" s="13" t="s">
        <v>26</v>
      </c>
    </row>
    <row r="229" spans="1:17" ht="15" thickBot="1" x14ac:dyDescent="0.35">
      <c r="A229" s="1">
        <f>A220-$C$9*O224</f>
        <v>-4.3959233663299955</v>
      </c>
      <c r="B229" s="1">
        <f>B220-$C$9*P224</f>
        <v>2.8399004959037382</v>
      </c>
      <c r="C229" s="1">
        <f>C220-$C$9*Q224</f>
        <v>2.8611164176919117</v>
      </c>
      <c r="D229" s="1"/>
      <c r="E229" s="3">
        <v>0</v>
      </c>
      <c r="F229" s="3">
        <v>0</v>
      </c>
      <c r="G229" s="1">
        <f>A229+(B229*E229)+(C229*F229)</f>
        <v>-4.3959233663299955</v>
      </c>
      <c r="H229" s="1">
        <f>1/(1+EXP(-G229))</f>
        <v>1.2177375771487038E-2</v>
      </c>
      <c r="I229" s="10">
        <f>($C$4-H229)^2</f>
        <v>1.4828848067999955E-4</v>
      </c>
      <c r="J229" s="1">
        <f>2*(H229-$C$4)</f>
        <v>2.4354751542974076E-2</v>
      </c>
      <c r="K229" s="10">
        <f xml:space="preserve"> EXP(-G229)/POWER(1+EXP(-G229),2)</f>
        <v>1.2029087290807039E-2</v>
      </c>
      <c r="L229" s="1">
        <v>1</v>
      </c>
      <c r="M229" s="1">
        <f>E229</f>
        <v>0</v>
      </c>
      <c r="N229" s="10">
        <f>F229</f>
        <v>0</v>
      </c>
      <c r="O229" s="1">
        <f>J229*K229*L229</f>
        <v>2.9296543225635258E-4</v>
      </c>
      <c r="P229" s="1">
        <f>J229*K229*M229</f>
        <v>0</v>
      </c>
      <c r="Q229" s="1">
        <f>J229*K229*N229</f>
        <v>0</v>
      </c>
    </row>
    <row r="230" spans="1:17" ht="15" thickBot="1" x14ac:dyDescent="0.35">
      <c r="A230" s="1"/>
      <c r="B230" s="1"/>
      <c r="C230" s="1"/>
      <c r="D230" s="1"/>
      <c r="E230" s="3">
        <v>0</v>
      </c>
      <c r="F230" s="3">
        <v>1</v>
      </c>
      <c r="G230" s="1">
        <f>A229+(B229*E230)+(C229*F230)</f>
        <v>-1.5348069486380838</v>
      </c>
      <c r="H230" s="1">
        <f t="shared" ref="H230:H231" si="171">1/(1+EXP(-G230))</f>
        <v>0.17729146014091487</v>
      </c>
      <c r="I230" s="10">
        <f>($C$5-H230)^2</f>
        <v>3.1432261838897607E-2</v>
      </c>
      <c r="J230" s="1">
        <f>2*(H230-$C$5)</f>
        <v>0.35458292028182975</v>
      </c>
      <c r="K230" s="10">
        <f t="shared" ref="K230:K232" si="172" xml:space="preserve"> EXP(-G230)/POWER(1+EXP(-G230),2)</f>
        <v>0.14585919830201727</v>
      </c>
      <c r="L230" s="1">
        <v>1</v>
      </c>
      <c r="M230" s="1">
        <f t="shared" ref="M230:M232" si="173">E230</f>
        <v>0</v>
      </c>
      <c r="N230" s="10">
        <f t="shared" ref="N230:N232" si="174">F230</f>
        <v>1</v>
      </c>
      <c r="O230" s="1">
        <f t="shared" ref="O230:O232" si="175">J230*K230*L230</f>
        <v>5.1719180483895788E-2</v>
      </c>
      <c r="P230" s="1">
        <f t="shared" ref="P230:P232" si="176">J230*K230*M230</f>
        <v>0</v>
      </c>
      <c r="Q230" s="1">
        <f t="shared" ref="Q230:Q232" si="177">J230*K230*N230</f>
        <v>5.1719180483895788E-2</v>
      </c>
    </row>
    <row r="231" spans="1:17" ht="15" thickBot="1" x14ac:dyDescent="0.35">
      <c r="A231" s="1"/>
      <c r="B231" s="1"/>
      <c r="C231" s="1"/>
      <c r="D231" s="1"/>
      <c r="E231" s="3">
        <v>1</v>
      </c>
      <c r="F231" s="3">
        <v>0</v>
      </c>
      <c r="G231" s="1">
        <f>A229+(B229*E231)+(C229*F231)</f>
        <v>-1.5560228704262573</v>
      </c>
      <c r="H231" s="1">
        <f t="shared" si="171"/>
        <v>0.17421808015591106</v>
      </c>
      <c r="I231" s="10">
        <f>($C$6-H231)^2</f>
        <v>3.0351939453211452E-2</v>
      </c>
      <c r="J231" s="1">
        <f>2*(H231-$C$6)</f>
        <v>0.34843616031182212</v>
      </c>
      <c r="K231" s="10">
        <f t="shared" si="172"/>
        <v>0.1438661407026996</v>
      </c>
      <c r="L231" s="1">
        <v>1</v>
      </c>
      <c r="M231" s="1">
        <f t="shared" si="173"/>
        <v>1</v>
      </c>
      <c r="N231" s="10">
        <f t="shared" si="174"/>
        <v>0</v>
      </c>
      <c r="O231" s="1">
        <f t="shared" si="175"/>
        <v>5.0128165665328996E-2</v>
      </c>
      <c r="P231" s="1">
        <f t="shared" si="176"/>
        <v>5.0128165665328996E-2</v>
      </c>
      <c r="Q231" s="1">
        <f t="shared" si="177"/>
        <v>0</v>
      </c>
    </row>
    <row r="232" spans="1:17" ht="15" thickBot="1" x14ac:dyDescent="0.35">
      <c r="A232" s="1"/>
      <c r="B232" s="1"/>
      <c r="C232" s="1"/>
      <c r="D232" s="1"/>
      <c r="E232" s="3">
        <v>1</v>
      </c>
      <c r="F232" s="3">
        <v>1</v>
      </c>
      <c r="G232" s="1">
        <f>A229+(B229*E232)+(C229*F232)</f>
        <v>1.3050935472656544</v>
      </c>
      <c r="H232" s="1">
        <f>1/(1+EXP(-G232))</f>
        <v>0.78669097061158433</v>
      </c>
      <c r="I232" s="10">
        <f>($C$7-H232)^2</f>
        <v>4.5500742018627978E-2</v>
      </c>
      <c r="J232" s="1">
        <f>2*(H232-$C$7)</f>
        <v>-0.42661805877683134</v>
      </c>
      <c r="K232" s="10">
        <f t="shared" si="172"/>
        <v>0.16780828736978773</v>
      </c>
      <c r="L232" s="1">
        <v>1</v>
      </c>
      <c r="M232" s="1">
        <f t="shared" si="173"/>
        <v>1</v>
      </c>
      <c r="N232" s="10">
        <f t="shared" si="174"/>
        <v>1</v>
      </c>
      <c r="O232" s="1">
        <f t="shared" si="175"/>
        <v>-7.1590045804363511E-2</v>
      </c>
      <c r="P232" s="1">
        <f t="shared" si="176"/>
        <v>-7.1590045804363511E-2</v>
      </c>
      <c r="Q232" s="1">
        <f t="shared" si="177"/>
        <v>-7.1590045804363511E-2</v>
      </c>
    </row>
    <row r="233" spans="1:17" ht="15" thickBot="1" x14ac:dyDescent="0.35">
      <c r="A233" s="1"/>
      <c r="B233" s="1"/>
      <c r="C233" s="1"/>
      <c r="D233" s="1"/>
      <c r="E233" s="1"/>
      <c r="F233" s="1"/>
      <c r="G233" s="1"/>
      <c r="H233" s="1"/>
      <c r="I233" s="10">
        <f>SUM(I229:I232)</f>
        <v>0.10743323179141703</v>
      </c>
      <c r="J233" s="1"/>
      <c r="K233" s="1"/>
      <c r="L233" s="1"/>
      <c r="M233" s="1"/>
      <c r="N233" s="1"/>
      <c r="O233" s="1">
        <f>AVERAGE(O229:O232)</f>
        <v>7.6375664442794068E-3</v>
      </c>
      <c r="P233" s="1">
        <f>AVERAGE(P229:P232)</f>
        <v>-5.3654700347586289E-3</v>
      </c>
      <c r="Q233" s="1">
        <f>AVERAGE(Q229:Q232)</f>
        <v>-4.9677163301169308E-3</v>
      </c>
    </row>
    <row r="234" spans="1:17" ht="15" thickBot="1" x14ac:dyDescent="0.35"/>
    <row r="235" spans="1:17" ht="15" thickBot="1" x14ac:dyDescent="0.35">
      <c r="A235" s="1" t="s">
        <v>27</v>
      </c>
      <c r="B235" s="3">
        <v>25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 thickBot="1" x14ac:dyDescent="0.35">
      <c r="A236" s="8" t="s">
        <v>7</v>
      </c>
      <c r="B236" s="20" t="s">
        <v>8</v>
      </c>
      <c r="C236" s="22"/>
      <c r="D236" s="1"/>
      <c r="E236" s="20" t="s">
        <v>9</v>
      </c>
      <c r="F236" s="22"/>
      <c r="G236" s="7"/>
      <c r="H236" s="8" t="s">
        <v>10</v>
      </c>
      <c r="I236" s="9" t="s">
        <v>11</v>
      </c>
      <c r="J236" s="1"/>
      <c r="K236" s="10"/>
      <c r="L236" s="23" t="s">
        <v>12</v>
      </c>
      <c r="M236" s="16"/>
      <c r="N236" s="24"/>
      <c r="O236" s="25" t="s">
        <v>13</v>
      </c>
      <c r="P236" s="26"/>
      <c r="Q236" s="27"/>
    </row>
    <row r="237" spans="1:17" ht="15" thickBot="1" x14ac:dyDescent="0.35">
      <c r="A237" s="11" t="s">
        <v>14</v>
      </c>
      <c r="B237" s="11" t="s">
        <v>15</v>
      </c>
      <c r="C237" s="11" t="s">
        <v>16</v>
      </c>
      <c r="D237" s="4"/>
      <c r="E237" s="11" t="s">
        <v>17</v>
      </c>
      <c r="F237" s="11" t="s">
        <v>18</v>
      </c>
      <c r="G237" s="11" t="s">
        <v>19</v>
      </c>
      <c r="H237" s="11" t="s">
        <v>20</v>
      </c>
      <c r="I237" s="12" t="s">
        <v>21</v>
      </c>
      <c r="J237" s="13" t="s">
        <v>22</v>
      </c>
      <c r="K237" s="14" t="s">
        <v>23</v>
      </c>
      <c r="L237" s="13" t="s">
        <v>24</v>
      </c>
      <c r="M237" s="13" t="s">
        <v>25</v>
      </c>
      <c r="N237" s="14" t="s">
        <v>26</v>
      </c>
      <c r="O237" s="13" t="s">
        <v>24</v>
      </c>
      <c r="P237" s="13" t="s">
        <v>25</v>
      </c>
      <c r="Q237" s="13" t="s">
        <v>26</v>
      </c>
    </row>
    <row r="238" spans="1:17" ht="15" thickBot="1" x14ac:dyDescent="0.35">
      <c r="A238" s="1">
        <f>A229-$C$9*O233</f>
        <v>-4.4722990307727892</v>
      </c>
      <c r="B238" s="1">
        <f>B229-$C$9*P233</f>
        <v>2.8935551962513246</v>
      </c>
      <c r="C238" s="1">
        <f>C229-$C$9*Q233</f>
        <v>2.9107935809930812</v>
      </c>
      <c r="D238" s="1"/>
      <c r="E238" s="3">
        <v>0</v>
      </c>
      <c r="F238" s="3">
        <v>0</v>
      </c>
      <c r="G238" s="1">
        <f>A238+(B238*E238)+(C238*F238)</f>
        <v>-4.4722990307727892</v>
      </c>
      <c r="H238" s="1">
        <f>1/(1+EXP(-G238))</f>
        <v>1.1292061395257168E-2</v>
      </c>
      <c r="I238" s="10">
        <f>($C$4-H238)^2</f>
        <v>1.2751065055425725E-4</v>
      </c>
      <c r="J238" s="1">
        <f>2*(H238-$C$4)</f>
        <v>2.2584122790514336E-2</v>
      </c>
      <c r="K238" s="10">
        <f xml:space="preserve"> EXP(-G238)/POWER(1+EXP(-G238),2)</f>
        <v>1.1164550744702911E-2</v>
      </c>
      <c r="L238" s="1">
        <v>1</v>
      </c>
      <c r="M238" s="1">
        <f>E238</f>
        <v>0</v>
      </c>
      <c r="N238" s="10">
        <f>F238</f>
        <v>0</v>
      </c>
      <c r="O238" s="1">
        <f>J238*K238*L238</f>
        <v>2.5214158491929881E-4</v>
      </c>
      <c r="P238" s="1">
        <f>J238*K238*M238</f>
        <v>0</v>
      </c>
      <c r="Q238" s="1">
        <f>J238*K238*N238</f>
        <v>0</v>
      </c>
    </row>
    <row r="239" spans="1:17" ht="15" thickBot="1" x14ac:dyDescent="0.35">
      <c r="A239" s="1"/>
      <c r="B239" s="1"/>
      <c r="C239" s="1"/>
      <c r="D239" s="1"/>
      <c r="E239" s="3">
        <v>0</v>
      </c>
      <c r="F239" s="3">
        <v>1</v>
      </c>
      <c r="G239" s="1">
        <f>A238+(B238*E239)+(C238*F239)</f>
        <v>-1.5615054497797081</v>
      </c>
      <c r="H239" s="1">
        <f t="shared" ref="H239:H240" si="178">1/(1+EXP(-G239))</f>
        <v>0.17343073089982497</v>
      </c>
      <c r="I239" s="10">
        <f>($C$5-H239)^2</f>
        <v>3.0078218420447504E-2</v>
      </c>
      <c r="J239" s="1">
        <f>2*(H239-$C$5)</f>
        <v>0.34686146179964994</v>
      </c>
      <c r="K239" s="10">
        <f t="shared" ref="K239:K241" si="179" xml:space="preserve"> EXP(-G239)/POWER(1+EXP(-G239),2)</f>
        <v>0.14335251247937744</v>
      </c>
      <c r="L239" s="1">
        <v>1</v>
      </c>
      <c r="M239" s="1">
        <f t="shared" ref="M239:M241" si="180">E239</f>
        <v>0</v>
      </c>
      <c r="N239" s="10">
        <f t="shared" ref="N239:N241" si="181">F239</f>
        <v>1</v>
      </c>
      <c r="O239" s="1">
        <f t="shared" ref="O239:O241" si="182">J239*K239*L239</f>
        <v>4.9723462031249423E-2</v>
      </c>
      <c r="P239" s="1">
        <f t="shared" ref="P239:P241" si="183">J239*K239*M239</f>
        <v>0</v>
      </c>
      <c r="Q239" s="1">
        <f t="shared" ref="Q239:Q241" si="184">J239*K239*N239</f>
        <v>4.9723462031249423E-2</v>
      </c>
    </row>
    <row r="240" spans="1:17" ht="15" thickBot="1" x14ac:dyDescent="0.35">
      <c r="A240" s="1"/>
      <c r="B240" s="1"/>
      <c r="C240" s="1"/>
      <c r="D240" s="1"/>
      <c r="E240" s="3">
        <v>1</v>
      </c>
      <c r="F240" s="3">
        <v>0</v>
      </c>
      <c r="G240" s="1">
        <f>A238+(B238*E240)+(C238*F240)</f>
        <v>-1.5787438345214646</v>
      </c>
      <c r="H240" s="1">
        <f t="shared" si="178"/>
        <v>0.17097345926263849</v>
      </c>
      <c r="I240" s="10">
        <f>($C$6-H240)^2</f>
        <v>2.9231923772233104E-2</v>
      </c>
      <c r="J240" s="1">
        <f>2*(H240-$C$6)</f>
        <v>0.34194691852527698</v>
      </c>
      <c r="K240" s="10">
        <f t="shared" si="179"/>
        <v>0.14174153549040538</v>
      </c>
      <c r="L240" s="1">
        <v>1</v>
      </c>
      <c r="M240" s="1">
        <f t="shared" si="180"/>
        <v>1</v>
      </c>
      <c r="N240" s="10">
        <f t="shared" si="181"/>
        <v>0</v>
      </c>
      <c r="O240" s="1">
        <f t="shared" si="182"/>
        <v>4.8468081287985305E-2</v>
      </c>
      <c r="P240" s="1">
        <f t="shared" si="183"/>
        <v>4.8468081287985305E-2</v>
      </c>
      <c r="Q240" s="1">
        <f t="shared" si="184"/>
        <v>0</v>
      </c>
    </row>
    <row r="241" spans="1:17" ht="15" thickBot="1" x14ac:dyDescent="0.35">
      <c r="A241" s="1"/>
      <c r="B241" s="1"/>
      <c r="C241" s="1"/>
      <c r="D241" s="1"/>
      <c r="E241" s="3">
        <v>1</v>
      </c>
      <c r="F241" s="3">
        <v>1</v>
      </c>
      <c r="G241" s="1">
        <f>A238+(B238*E241)+(C238*F241)</f>
        <v>1.3320497464716166</v>
      </c>
      <c r="H241" s="1">
        <f>1/(1+EXP(-G241))</f>
        <v>0.79117948476303612</v>
      </c>
      <c r="I241" s="10">
        <f>($C$7-H241)^2</f>
        <v>4.3606007583831062E-2</v>
      </c>
      <c r="J241" s="1">
        <f>2*(H241-$C$7)</f>
        <v>-0.41764103047392775</v>
      </c>
      <c r="K241" s="10">
        <f t="shared" si="179"/>
        <v>0.16521450765313284</v>
      </c>
      <c r="L241" s="1">
        <v>1</v>
      </c>
      <c r="M241" s="1">
        <f t="shared" si="180"/>
        <v>1</v>
      </c>
      <c r="N241" s="10">
        <f t="shared" si="181"/>
        <v>1</v>
      </c>
      <c r="O241" s="1">
        <f t="shared" si="182"/>
        <v>-6.9000357225497022E-2</v>
      </c>
      <c r="P241" s="1">
        <f t="shared" si="183"/>
        <v>-6.9000357225497022E-2</v>
      </c>
      <c r="Q241" s="1">
        <f t="shared" si="184"/>
        <v>-6.9000357225497022E-2</v>
      </c>
    </row>
    <row r="242" spans="1:17" ht="15" thickBot="1" x14ac:dyDescent="0.35">
      <c r="A242" s="1"/>
      <c r="B242" s="1"/>
      <c r="C242" s="1"/>
      <c r="D242" s="1"/>
      <c r="E242" s="1"/>
      <c r="F242" s="1"/>
      <c r="G242" s="1"/>
      <c r="H242" s="1"/>
      <c r="I242" s="10">
        <f>SUM(I238:I241)</f>
        <v>0.10304366042706592</v>
      </c>
      <c r="J242" s="1"/>
      <c r="K242" s="1"/>
      <c r="L242" s="1"/>
      <c r="M242" s="1"/>
      <c r="N242" s="1"/>
      <c r="O242" s="1">
        <f>AVERAGE(O238:O241)</f>
        <v>7.3608319196642527E-3</v>
      </c>
      <c r="P242" s="1">
        <f>AVERAGE(P238:P241)</f>
        <v>-5.1330689843779292E-3</v>
      </c>
      <c r="Q242" s="1">
        <f>AVERAGE(Q238:Q241)</f>
        <v>-4.8192237985618998E-3</v>
      </c>
    </row>
    <row r="243" spans="1:17" ht="15" thickBot="1" x14ac:dyDescent="0.35"/>
    <row r="244" spans="1:17" ht="15" thickBot="1" x14ac:dyDescent="0.35">
      <c r="A244" s="1" t="s">
        <v>27</v>
      </c>
      <c r="B244" s="3">
        <v>26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 thickBot="1" x14ac:dyDescent="0.35">
      <c r="A245" s="8" t="s">
        <v>7</v>
      </c>
      <c r="B245" s="20" t="s">
        <v>8</v>
      </c>
      <c r="C245" s="22"/>
      <c r="D245" s="1"/>
      <c r="E245" s="20" t="s">
        <v>9</v>
      </c>
      <c r="F245" s="22"/>
      <c r="G245" s="7"/>
      <c r="H245" s="8" t="s">
        <v>10</v>
      </c>
      <c r="I245" s="9" t="s">
        <v>11</v>
      </c>
      <c r="J245" s="1"/>
      <c r="K245" s="10"/>
      <c r="L245" s="23" t="s">
        <v>12</v>
      </c>
      <c r="M245" s="16"/>
      <c r="N245" s="24"/>
      <c r="O245" s="25" t="s">
        <v>13</v>
      </c>
      <c r="P245" s="26"/>
      <c r="Q245" s="27"/>
    </row>
    <row r="246" spans="1:17" ht="15" thickBot="1" x14ac:dyDescent="0.35">
      <c r="A246" s="11" t="s">
        <v>14</v>
      </c>
      <c r="B246" s="11" t="s">
        <v>15</v>
      </c>
      <c r="C246" s="11" t="s">
        <v>16</v>
      </c>
      <c r="D246" s="4"/>
      <c r="E246" s="11" t="s">
        <v>17</v>
      </c>
      <c r="F246" s="11" t="s">
        <v>18</v>
      </c>
      <c r="G246" s="11" t="s">
        <v>19</v>
      </c>
      <c r="H246" s="11" t="s">
        <v>20</v>
      </c>
      <c r="I246" s="12" t="s">
        <v>21</v>
      </c>
      <c r="J246" s="13" t="s">
        <v>22</v>
      </c>
      <c r="K246" s="14" t="s">
        <v>23</v>
      </c>
      <c r="L246" s="13" t="s">
        <v>24</v>
      </c>
      <c r="M246" s="13" t="s">
        <v>25</v>
      </c>
      <c r="N246" s="14" t="s">
        <v>26</v>
      </c>
      <c r="O246" s="13" t="s">
        <v>24</v>
      </c>
      <c r="P246" s="13" t="s">
        <v>25</v>
      </c>
      <c r="Q246" s="13" t="s">
        <v>26</v>
      </c>
    </row>
    <row r="247" spans="1:17" ht="15" thickBot="1" x14ac:dyDescent="0.35">
      <c r="A247" s="1">
        <f>A238-$C$9*O242</f>
        <v>-4.5459073499694318</v>
      </c>
      <c r="B247" s="1">
        <f>B238-$C$9*P242</f>
        <v>2.9448858860951037</v>
      </c>
      <c r="C247" s="1">
        <f>C238-$C$9*Q242</f>
        <v>2.9589858189787002</v>
      </c>
      <c r="D247" s="1"/>
      <c r="E247" s="3">
        <v>0</v>
      </c>
      <c r="F247" s="3">
        <v>0</v>
      </c>
      <c r="G247" s="1">
        <f>A247+(B247*E247)+(C247*F247)</f>
        <v>-4.5459073499694318</v>
      </c>
      <c r="H247" s="1">
        <f>1/(1+EXP(-G247))</f>
        <v>1.0499139326294265E-2</v>
      </c>
      <c r="I247" s="10">
        <f>($C$4-H247)^2</f>
        <v>1.1023192659293879E-4</v>
      </c>
      <c r="J247" s="1">
        <f>2*(H247-$C$4)</f>
        <v>2.0998278652588531E-2</v>
      </c>
      <c r="K247" s="10">
        <f xml:space="preserve"> EXP(-G247)/POWER(1+EXP(-G247),2)</f>
        <v>1.0388907399701325E-2</v>
      </c>
      <c r="L247" s="1">
        <v>1</v>
      </c>
      <c r="M247" s="1">
        <f>E247</f>
        <v>0</v>
      </c>
      <c r="N247" s="10">
        <f>F247</f>
        <v>0</v>
      </c>
      <c r="O247" s="1">
        <f>J247*K247*L247</f>
        <v>2.1814917247486734E-4</v>
      </c>
      <c r="P247" s="1">
        <f>J247*K247*M247</f>
        <v>0</v>
      </c>
      <c r="Q247" s="1">
        <f>J247*K247*N247</f>
        <v>0</v>
      </c>
    </row>
    <row r="248" spans="1:17" ht="15" thickBot="1" x14ac:dyDescent="0.35">
      <c r="A248" s="1"/>
      <c r="B248" s="1"/>
      <c r="C248" s="1"/>
      <c r="D248" s="1"/>
      <c r="E248" s="3">
        <v>0</v>
      </c>
      <c r="F248" s="3">
        <v>1</v>
      </c>
      <c r="G248" s="1">
        <f>A247+(B247*E248)+(C247*F248)</f>
        <v>-1.5869215309907316</v>
      </c>
      <c r="H248" s="1">
        <f t="shared" ref="H248:H249" si="185">1/(1+EXP(-G248))</f>
        <v>0.16981745688211872</v>
      </c>
      <c r="I248" s="10">
        <f>($C$5-H248)^2</f>
        <v>2.8837968661910251E-2</v>
      </c>
      <c r="J248" s="1">
        <f>2*(H248-$C$5)</f>
        <v>0.33963491376423743</v>
      </c>
      <c r="K248" s="10">
        <f t="shared" ref="K248:K250" si="186" xml:space="preserve"> EXP(-G248)/POWER(1+EXP(-G248),2)</f>
        <v>0.14097948822020848</v>
      </c>
      <c r="L248" s="1">
        <v>1</v>
      </c>
      <c r="M248" s="1">
        <f t="shared" ref="M248:M250" si="187">E248</f>
        <v>0</v>
      </c>
      <c r="N248" s="10">
        <f t="shared" ref="N248:N250" si="188">F248</f>
        <v>1</v>
      </c>
      <c r="O248" s="1">
        <f t="shared" ref="O248:O250" si="189">J248*K248*L248</f>
        <v>4.7881556324196835E-2</v>
      </c>
      <c r="P248" s="1">
        <f t="shared" ref="P248:P250" si="190">J248*K248*M248</f>
        <v>0</v>
      </c>
      <c r="Q248" s="1">
        <f t="shared" ref="Q248:Q250" si="191">J248*K248*N248</f>
        <v>4.7881556324196835E-2</v>
      </c>
    </row>
    <row r="249" spans="1:17" ht="15" thickBot="1" x14ac:dyDescent="0.35">
      <c r="A249" s="1"/>
      <c r="B249" s="1"/>
      <c r="C249" s="1"/>
      <c r="D249" s="1"/>
      <c r="E249" s="3">
        <v>1</v>
      </c>
      <c r="F249" s="3">
        <v>0</v>
      </c>
      <c r="G249" s="1">
        <f>A247+(B247*E249)+(C247*F249)</f>
        <v>-1.6010214638743281</v>
      </c>
      <c r="H249" s="1">
        <f t="shared" si="185"/>
        <v>0.16783889961521894</v>
      </c>
      <c r="I249" s="10">
        <f>($C$6-H249)^2</f>
        <v>2.8169896224047541E-2</v>
      </c>
      <c r="J249" s="1">
        <f>2*(H249-$C$6)</f>
        <v>0.33567779923043789</v>
      </c>
      <c r="K249" s="10">
        <f t="shared" si="186"/>
        <v>0.13966900339117139</v>
      </c>
      <c r="L249" s="1">
        <v>1</v>
      </c>
      <c r="M249" s="1">
        <f t="shared" si="187"/>
        <v>1</v>
      </c>
      <c r="N249" s="10">
        <f t="shared" si="188"/>
        <v>0</v>
      </c>
      <c r="O249" s="1">
        <f t="shared" si="189"/>
        <v>4.6883783679056976E-2</v>
      </c>
      <c r="P249" s="1">
        <f t="shared" si="190"/>
        <v>4.6883783679056976E-2</v>
      </c>
      <c r="Q249" s="1">
        <f t="shared" si="191"/>
        <v>0</v>
      </c>
    </row>
    <row r="250" spans="1:17" ht="15" thickBot="1" x14ac:dyDescent="0.35">
      <c r="A250" s="1"/>
      <c r="B250" s="1"/>
      <c r="C250" s="1"/>
      <c r="D250" s="1"/>
      <c r="E250" s="3">
        <v>1</v>
      </c>
      <c r="F250" s="3">
        <v>1</v>
      </c>
      <c r="G250" s="1">
        <f>A247+(B247*E250)+(C247*F250)</f>
        <v>1.3579643551043721</v>
      </c>
      <c r="H250" s="1">
        <f>1/(1+EXP(-G250))</f>
        <v>0.79542865288891451</v>
      </c>
      <c r="I250" s="10">
        <f>($C$7-H250)^2</f>
        <v>4.1849436058844225E-2</v>
      </c>
      <c r="J250" s="1">
        <f>2*(H250-$C$7)</f>
        <v>-0.40914269422217098</v>
      </c>
      <c r="K250" s="10">
        <f t="shared" si="186"/>
        <v>0.16272191105224126</v>
      </c>
      <c r="L250" s="1">
        <v>1</v>
      </c>
      <c r="M250" s="1">
        <f t="shared" si="187"/>
        <v>1</v>
      </c>
      <c r="N250" s="10">
        <f t="shared" si="188"/>
        <v>1</v>
      </c>
      <c r="O250" s="1">
        <f t="shared" si="189"/>
        <v>-6.6576481096894458E-2</v>
      </c>
      <c r="P250" s="1">
        <f t="shared" si="190"/>
        <v>-6.6576481096894458E-2</v>
      </c>
      <c r="Q250" s="1">
        <f t="shared" si="191"/>
        <v>-6.6576481096894458E-2</v>
      </c>
    </row>
    <row r="251" spans="1:17" ht="15" thickBot="1" x14ac:dyDescent="0.35">
      <c r="A251" s="1"/>
      <c r="B251" s="1"/>
      <c r="C251" s="1"/>
      <c r="D251" s="1"/>
      <c r="E251" s="1"/>
      <c r="F251" s="1"/>
      <c r="G251" s="1"/>
      <c r="H251" s="1"/>
      <c r="I251" s="10">
        <f>SUM(I247:I250)</f>
        <v>9.8967532871394953E-2</v>
      </c>
      <c r="J251" s="1"/>
      <c r="K251" s="1"/>
      <c r="L251" s="1"/>
      <c r="M251" s="1"/>
      <c r="N251" s="1"/>
      <c r="O251" s="1">
        <f>AVERAGE(O247:O250)</f>
        <v>7.1017520197085571E-3</v>
      </c>
      <c r="P251" s="1">
        <f>AVERAGE(P247:P250)</f>
        <v>-4.9231743544593705E-3</v>
      </c>
      <c r="Q251" s="1">
        <f>AVERAGE(Q247:Q250)</f>
        <v>-4.6737311931744057E-3</v>
      </c>
    </row>
    <row r="252" spans="1:17" ht="15" thickBot="1" x14ac:dyDescent="0.35"/>
    <row r="253" spans="1:17" ht="15" thickBot="1" x14ac:dyDescent="0.35">
      <c r="A253" s="1" t="s">
        <v>27</v>
      </c>
      <c r="B253" s="3">
        <v>27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 thickBot="1" x14ac:dyDescent="0.35">
      <c r="A254" s="8" t="s">
        <v>7</v>
      </c>
      <c r="B254" s="20" t="s">
        <v>8</v>
      </c>
      <c r="C254" s="22"/>
      <c r="D254" s="1"/>
      <c r="E254" s="20" t="s">
        <v>9</v>
      </c>
      <c r="F254" s="22"/>
      <c r="G254" s="7"/>
      <c r="H254" s="8" t="s">
        <v>10</v>
      </c>
      <c r="I254" s="9" t="s">
        <v>11</v>
      </c>
      <c r="J254" s="1"/>
      <c r="K254" s="10"/>
      <c r="L254" s="23" t="s">
        <v>12</v>
      </c>
      <c r="M254" s="16"/>
      <c r="N254" s="24"/>
      <c r="O254" s="25" t="s">
        <v>13</v>
      </c>
      <c r="P254" s="26"/>
      <c r="Q254" s="27"/>
    </row>
    <row r="255" spans="1:17" ht="15" thickBot="1" x14ac:dyDescent="0.35">
      <c r="A255" s="11" t="s">
        <v>14</v>
      </c>
      <c r="B255" s="11" t="s">
        <v>15</v>
      </c>
      <c r="C255" s="11" t="s">
        <v>16</v>
      </c>
      <c r="D255" s="4"/>
      <c r="E255" s="11" t="s">
        <v>17</v>
      </c>
      <c r="F255" s="11" t="s">
        <v>18</v>
      </c>
      <c r="G255" s="11" t="s">
        <v>19</v>
      </c>
      <c r="H255" s="11" t="s">
        <v>20</v>
      </c>
      <c r="I255" s="12" t="s">
        <v>21</v>
      </c>
      <c r="J255" s="13" t="s">
        <v>22</v>
      </c>
      <c r="K255" s="14" t="s">
        <v>23</v>
      </c>
      <c r="L255" s="13" t="s">
        <v>24</v>
      </c>
      <c r="M255" s="13" t="s">
        <v>25</v>
      </c>
      <c r="N255" s="14" t="s">
        <v>26</v>
      </c>
      <c r="O255" s="13" t="s">
        <v>24</v>
      </c>
      <c r="P255" s="13" t="s">
        <v>25</v>
      </c>
      <c r="Q255" s="13" t="s">
        <v>26</v>
      </c>
    </row>
    <row r="256" spans="1:17" ht="15" thickBot="1" x14ac:dyDescent="0.35">
      <c r="A256" s="1">
        <f>A247-$C$9*O251</f>
        <v>-4.6169248701665175</v>
      </c>
      <c r="B256" s="1">
        <f>B247-$C$9*P251</f>
        <v>2.9941176296396974</v>
      </c>
      <c r="C256" s="1">
        <f>C247-$C$9*Q251</f>
        <v>3.0057231309104444</v>
      </c>
      <c r="D256" s="1"/>
      <c r="E256" s="3">
        <v>0</v>
      </c>
      <c r="F256" s="3">
        <v>0</v>
      </c>
      <c r="G256" s="1">
        <f>A256+(B256*E256)+(C256*F256)</f>
        <v>-4.6169248701665175</v>
      </c>
      <c r="H256" s="1">
        <f>1/(1+EXP(-G256))</f>
        <v>9.7864207429527623E-3</v>
      </c>
      <c r="I256" s="10">
        <f>($C$4-H256)^2</f>
        <v>9.5774030958096094E-5</v>
      </c>
      <c r="J256" s="1">
        <f>2*(H256-$C$4)</f>
        <v>1.9572841485905525E-2</v>
      </c>
      <c r="K256" s="10">
        <f xml:space="preserve"> EXP(-G256)/POWER(1+EXP(-G256),2)</f>
        <v>9.6906467119946653E-3</v>
      </c>
      <c r="L256" s="1">
        <v>1</v>
      </c>
      <c r="M256" s="1">
        <f>E256</f>
        <v>0</v>
      </c>
      <c r="N256" s="10">
        <f>F256</f>
        <v>0</v>
      </c>
      <c r="O256" s="1">
        <f>J256*K256*L256</f>
        <v>1.8967349198978315E-4</v>
      </c>
      <c r="P256" s="1">
        <f>J256*K256*M256</f>
        <v>0</v>
      </c>
      <c r="Q256" s="1">
        <f>J256*K256*N256</f>
        <v>0</v>
      </c>
    </row>
    <row r="257" spans="1:17" ht="15" thickBot="1" x14ac:dyDescent="0.35">
      <c r="A257" s="1"/>
      <c r="B257" s="1"/>
      <c r="C257" s="1"/>
      <c r="D257" s="1"/>
      <c r="E257" s="3">
        <v>0</v>
      </c>
      <c r="F257" s="3">
        <v>1</v>
      </c>
      <c r="G257" s="1">
        <f>A256+(B256*E257)+(C256*F257)</f>
        <v>-1.6112017392560731</v>
      </c>
      <c r="H257" s="1">
        <f t="shared" ref="H257:H258" si="192">1/(1+EXP(-G257))</f>
        <v>0.16642183472969063</v>
      </c>
      <c r="I257" s="10">
        <f>($C$5-H257)^2</f>
        <v>2.7696227074796465E-2</v>
      </c>
      <c r="J257" s="1">
        <f>2*(H257-$C$5)</f>
        <v>0.33284366945938126</v>
      </c>
      <c r="K257" s="10">
        <f t="shared" ref="K257:K259" si="193" xml:space="preserve"> EXP(-G257)/POWER(1+EXP(-G257),2)</f>
        <v>0.13872560765489417</v>
      </c>
      <c r="L257" s="1">
        <v>1</v>
      </c>
      <c r="M257" s="1">
        <f t="shared" ref="M257:M259" si="194">E257</f>
        <v>0</v>
      </c>
      <c r="N257" s="10">
        <f t="shared" ref="N257:N259" si="195">F257</f>
        <v>1</v>
      </c>
      <c r="O257" s="1">
        <f t="shared" ref="O257:O259" si="196">J257*K257*L257</f>
        <v>4.6173940299837408E-2</v>
      </c>
      <c r="P257" s="1">
        <f t="shared" ref="P257:P259" si="197">J257*K257*M257</f>
        <v>0</v>
      </c>
      <c r="Q257" s="1">
        <f t="shared" ref="Q257:Q259" si="198">J257*K257*N257</f>
        <v>4.6173940299837408E-2</v>
      </c>
    </row>
    <row r="258" spans="1:17" ht="15" thickBot="1" x14ac:dyDescent="0.35">
      <c r="A258" s="1"/>
      <c r="B258" s="1"/>
      <c r="C258" s="1"/>
      <c r="D258" s="1"/>
      <c r="E258" s="3">
        <v>1</v>
      </c>
      <c r="F258" s="3">
        <v>0</v>
      </c>
      <c r="G258" s="1">
        <f>A256+(B256*E258)+(C256*F258)</f>
        <v>-1.6228072405268201</v>
      </c>
      <c r="H258" s="1">
        <f t="shared" si="192"/>
        <v>0.16481808119235</v>
      </c>
      <c r="I258" s="10">
        <f>($C$6-H258)^2</f>
        <v>2.7164999887928077E-2</v>
      </c>
      <c r="J258" s="1">
        <f>2*(H258-$C$6)</f>
        <v>0.3296361623847</v>
      </c>
      <c r="K258" s="10">
        <f t="shared" si="193"/>
        <v>0.13765308130442194</v>
      </c>
      <c r="L258" s="1">
        <v>1</v>
      </c>
      <c r="M258" s="1">
        <f t="shared" si="194"/>
        <v>1</v>
      </c>
      <c r="N258" s="10">
        <f t="shared" si="195"/>
        <v>0</v>
      </c>
      <c r="O258" s="1">
        <f t="shared" si="196"/>
        <v>4.5375433461618743E-2</v>
      </c>
      <c r="P258" s="1">
        <f t="shared" si="197"/>
        <v>4.5375433461618743E-2</v>
      </c>
      <c r="Q258" s="1">
        <f t="shared" si="198"/>
        <v>0</v>
      </c>
    </row>
    <row r="259" spans="1:17" ht="15" thickBot="1" x14ac:dyDescent="0.35">
      <c r="A259" s="1"/>
      <c r="B259" s="1"/>
      <c r="C259" s="1"/>
      <c r="D259" s="1"/>
      <c r="E259" s="3">
        <v>1</v>
      </c>
      <c r="F259" s="3">
        <v>1</v>
      </c>
      <c r="G259" s="1">
        <f>A256+(B256*E259)+(C256*F259)</f>
        <v>1.3829158903836243</v>
      </c>
      <c r="H259" s="1">
        <f>1/(1+EXP(-G259))</f>
        <v>0.79945889676644766</v>
      </c>
      <c r="I259" s="10">
        <f>($C$7-H259)^2</f>
        <v>4.0216734086130294E-2</v>
      </c>
      <c r="J259" s="1">
        <f>2*(H259-$C$7)</f>
        <v>-0.40108220646710468</v>
      </c>
      <c r="K259" s="10">
        <f t="shared" si="193"/>
        <v>0.16032436914742212</v>
      </c>
      <c r="L259" s="1">
        <v>1</v>
      </c>
      <c r="M259" s="1">
        <f t="shared" si="194"/>
        <v>1</v>
      </c>
      <c r="N259" s="10">
        <f t="shared" si="195"/>
        <v>1</v>
      </c>
      <c r="O259" s="1">
        <f t="shared" si="196"/>
        <v>-6.4303251728094674E-2</v>
      </c>
      <c r="P259" s="1">
        <f t="shared" si="197"/>
        <v>-6.4303251728094674E-2</v>
      </c>
      <c r="Q259" s="1">
        <f t="shared" si="198"/>
        <v>-6.4303251728094674E-2</v>
      </c>
    </row>
    <row r="260" spans="1:17" ht="15" thickBot="1" x14ac:dyDescent="0.35">
      <c r="A260" s="1"/>
      <c r="B260" s="1"/>
      <c r="C260" s="1"/>
      <c r="D260" s="1"/>
      <c r="E260" s="1"/>
      <c r="F260" s="1"/>
      <c r="G260" s="1"/>
      <c r="H260" s="1"/>
      <c r="I260" s="10">
        <f>SUM(I256:I259)</f>
        <v>9.5173735079812943E-2</v>
      </c>
      <c r="J260" s="1"/>
      <c r="K260" s="1"/>
      <c r="L260" s="1"/>
      <c r="M260" s="1"/>
      <c r="N260" s="1"/>
      <c r="O260" s="1">
        <f>AVERAGE(O256:O259)</f>
        <v>6.8589488813378154E-3</v>
      </c>
      <c r="P260" s="1">
        <f>AVERAGE(P256:P259)</f>
        <v>-4.7319545666189827E-3</v>
      </c>
      <c r="Q260" s="1">
        <f>AVERAGE(Q256:Q259)</f>
        <v>-4.5323278570643163E-3</v>
      </c>
    </row>
    <row r="261" spans="1:17" ht="15" thickBot="1" x14ac:dyDescent="0.35"/>
    <row r="262" spans="1:17" ht="15" thickBot="1" x14ac:dyDescent="0.35">
      <c r="A262" s="1" t="s">
        <v>27</v>
      </c>
      <c r="B262" s="3">
        <v>28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 thickBot="1" x14ac:dyDescent="0.35">
      <c r="A263" s="8" t="s">
        <v>7</v>
      </c>
      <c r="B263" s="20" t="s">
        <v>8</v>
      </c>
      <c r="C263" s="22"/>
      <c r="D263" s="1"/>
      <c r="E263" s="20" t="s">
        <v>9</v>
      </c>
      <c r="F263" s="22"/>
      <c r="G263" s="7"/>
      <c r="H263" s="8" t="s">
        <v>10</v>
      </c>
      <c r="I263" s="9" t="s">
        <v>11</v>
      </c>
      <c r="J263" s="1"/>
      <c r="K263" s="10"/>
      <c r="L263" s="23" t="s">
        <v>12</v>
      </c>
      <c r="M263" s="16"/>
      <c r="N263" s="24"/>
      <c r="O263" s="25" t="s">
        <v>13</v>
      </c>
      <c r="P263" s="26"/>
      <c r="Q263" s="27"/>
    </row>
    <row r="264" spans="1:17" ht="15" thickBot="1" x14ac:dyDescent="0.35">
      <c r="A264" s="11" t="s">
        <v>14</v>
      </c>
      <c r="B264" s="11" t="s">
        <v>15</v>
      </c>
      <c r="C264" s="11" t="s">
        <v>16</v>
      </c>
      <c r="D264" s="4"/>
      <c r="E264" s="11" t="s">
        <v>17</v>
      </c>
      <c r="F264" s="11" t="s">
        <v>18</v>
      </c>
      <c r="G264" s="11" t="s">
        <v>19</v>
      </c>
      <c r="H264" s="11" t="s">
        <v>20</v>
      </c>
      <c r="I264" s="12" t="s">
        <v>21</v>
      </c>
      <c r="J264" s="13" t="s">
        <v>22</v>
      </c>
      <c r="K264" s="14" t="s">
        <v>23</v>
      </c>
      <c r="L264" s="13" t="s">
        <v>24</v>
      </c>
      <c r="M264" s="13" t="s">
        <v>25</v>
      </c>
      <c r="N264" s="14" t="s">
        <v>26</v>
      </c>
      <c r="O264" s="13" t="s">
        <v>24</v>
      </c>
      <c r="P264" s="13" t="s">
        <v>25</v>
      </c>
      <c r="Q264" s="13" t="s">
        <v>26</v>
      </c>
    </row>
    <row r="265" spans="1:17" ht="15" thickBot="1" x14ac:dyDescent="0.35">
      <c r="A265" s="1">
        <f>A256-$C$9*O260</f>
        <v>-4.685514358979896</v>
      </c>
      <c r="B265" s="1">
        <f>B256-$C$9*P260</f>
        <v>3.0414371753058873</v>
      </c>
      <c r="C265" s="1">
        <f>C256-$C$9*Q260</f>
        <v>3.0510464094810876</v>
      </c>
      <c r="D265" s="1"/>
      <c r="E265" s="3">
        <v>0</v>
      </c>
      <c r="F265" s="3">
        <v>0</v>
      </c>
      <c r="G265" s="1">
        <f>A265+(B265*E265)+(C265*F265)</f>
        <v>-4.685514358979896</v>
      </c>
      <c r="H265" s="1">
        <f>1/(1+EXP(-G265))</f>
        <v>9.1436097821672377E-3</v>
      </c>
      <c r="I265" s="10">
        <f>($C$4-H265)^2</f>
        <v>8.3605599848544395E-5</v>
      </c>
      <c r="J265" s="1">
        <f>2*(H265-$C$4)</f>
        <v>1.8287219564334475E-2</v>
      </c>
      <c r="K265" s="10">
        <f xml:space="preserve"> EXP(-G265)/POWER(1+EXP(-G265),2)</f>
        <v>9.0600041823186931E-3</v>
      </c>
      <c r="L265" s="1">
        <v>1</v>
      </c>
      <c r="M265" s="1">
        <f>E265</f>
        <v>0</v>
      </c>
      <c r="N265" s="10">
        <f>F265</f>
        <v>0</v>
      </c>
      <c r="O265" s="1">
        <f>J265*K265*L265</f>
        <v>1.6568228573585057E-4</v>
      </c>
      <c r="P265" s="1">
        <f>J265*K265*M265</f>
        <v>0</v>
      </c>
      <c r="Q265" s="1">
        <f>J265*K265*N265</f>
        <v>0</v>
      </c>
    </row>
    <row r="266" spans="1:17" ht="15" thickBot="1" x14ac:dyDescent="0.35">
      <c r="A266" s="1"/>
      <c r="B266" s="1"/>
      <c r="C266" s="1"/>
      <c r="D266" s="1"/>
      <c r="E266" s="3">
        <v>0</v>
      </c>
      <c r="F266" s="3">
        <v>1</v>
      </c>
      <c r="G266" s="1">
        <f>A265+(B265*E266)+(C265*F266)</f>
        <v>-1.6344679494988084</v>
      </c>
      <c r="H266" s="1">
        <f t="shared" ref="H266:H267" si="199">1/(1+EXP(-G266))</f>
        <v>0.1632192158880624</v>
      </c>
      <c r="I266" s="10">
        <f>($C$5-H266)^2</f>
        <v>2.6640512435113922E-2</v>
      </c>
      <c r="J266" s="1">
        <f>2*(H266-$C$5)</f>
        <v>0.3264384317761248</v>
      </c>
      <c r="K266" s="10">
        <f t="shared" ref="K266:K268" si="200" xml:space="preserve"> EXP(-G266)/POWER(1+EXP(-G266),2)</f>
        <v>0.13657870345294848</v>
      </c>
      <c r="L266" s="1">
        <v>1</v>
      </c>
      <c r="M266" s="1">
        <f t="shared" ref="M266:M268" si="201">E266</f>
        <v>0</v>
      </c>
      <c r="N266" s="10">
        <f t="shared" ref="N266:N268" si="202">F266</f>
        <v>1</v>
      </c>
      <c r="O266" s="1">
        <f t="shared" ref="O266:O268" si="203">J266*K266*L266</f>
        <v>4.4584537769196901E-2</v>
      </c>
      <c r="P266" s="1">
        <f t="shared" ref="P266:P268" si="204">J266*K266*M266</f>
        <v>0</v>
      </c>
      <c r="Q266" s="1">
        <f t="shared" ref="Q266:Q268" si="205">J266*K266*N266</f>
        <v>4.4584537769196901E-2</v>
      </c>
    </row>
    <row r="267" spans="1:17" ht="15" thickBot="1" x14ac:dyDescent="0.35">
      <c r="A267" s="1"/>
      <c r="B267" s="1"/>
      <c r="C267" s="1"/>
      <c r="D267" s="1"/>
      <c r="E267" s="3">
        <v>1</v>
      </c>
      <c r="F267" s="3">
        <v>0</v>
      </c>
      <c r="G267" s="1">
        <f>A265+(B265*E267)+(C265*F267)</f>
        <v>-1.6440771836740087</v>
      </c>
      <c r="H267" s="1">
        <f t="shared" si="199"/>
        <v>0.16191104272640569</v>
      </c>
      <c r="I267" s="10">
        <f>($C$6-H267)^2</f>
        <v>2.6215185756751969E-2</v>
      </c>
      <c r="J267" s="1">
        <f>2*(H267-$C$6)</f>
        <v>0.32382208545281138</v>
      </c>
      <c r="K267" s="10">
        <f t="shared" si="200"/>
        <v>0.13569585696965372</v>
      </c>
      <c r="L267" s="1">
        <v>1</v>
      </c>
      <c r="M267" s="1">
        <f t="shared" si="201"/>
        <v>1</v>
      </c>
      <c r="N267" s="10">
        <f t="shared" si="202"/>
        <v>0</v>
      </c>
      <c r="O267" s="1">
        <f t="shared" si="203"/>
        <v>4.3941315391219676E-2</v>
      </c>
      <c r="P267" s="1">
        <f t="shared" si="204"/>
        <v>4.3941315391219676E-2</v>
      </c>
      <c r="Q267" s="1">
        <f t="shared" si="205"/>
        <v>0</v>
      </c>
    </row>
    <row r="268" spans="1:17" ht="15" thickBot="1" x14ac:dyDescent="0.35">
      <c r="A268" s="1"/>
      <c r="B268" s="1"/>
      <c r="C268" s="1"/>
      <c r="D268" s="1"/>
      <c r="E268" s="3">
        <v>1</v>
      </c>
      <c r="F268" s="3">
        <v>1</v>
      </c>
      <c r="G268" s="1">
        <f>A265+(B265*E268)+(C265*F268)</f>
        <v>1.4069692258070789</v>
      </c>
      <c r="H268" s="1">
        <f>1/(1+EXP(-G268))</f>
        <v>0.8032874708438672</v>
      </c>
      <c r="I268" s="10">
        <f>($C$7-H268)^2</f>
        <v>3.8695819127002394E-2</v>
      </c>
      <c r="J268" s="1">
        <f>2*(H268-$C$7)</f>
        <v>-0.3934250583122656</v>
      </c>
      <c r="K268" s="10">
        <f t="shared" si="200"/>
        <v>0.1580167100291304</v>
      </c>
      <c r="L268" s="1">
        <v>1</v>
      </c>
      <c r="M268" s="1">
        <f t="shared" si="201"/>
        <v>1</v>
      </c>
      <c r="N268" s="10">
        <f t="shared" si="202"/>
        <v>1</v>
      </c>
      <c r="O268" s="1">
        <f t="shared" si="203"/>
        <v>-6.2167733357522993E-2</v>
      </c>
      <c r="P268" s="1">
        <f t="shared" si="204"/>
        <v>-6.2167733357522993E-2</v>
      </c>
      <c r="Q268" s="1">
        <f t="shared" si="205"/>
        <v>-6.2167733357522993E-2</v>
      </c>
    </row>
    <row r="269" spans="1:17" ht="15" thickBot="1" x14ac:dyDescent="0.35">
      <c r="A269" s="1"/>
      <c r="B269" s="1"/>
      <c r="C269" s="1"/>
      <c r="D269" s="1"/>
      <c r="E269" s="1"/>
      <c r="F269" s="1"/>
      <c r="G269" s="1"/>
      <c r="H269" s="1"/>
      <c r="I269" s="10">
        <f>SUM(I265:I268)</f>
        <v>9.1635122918716838E-2</v>
      </c>
      <c r="J269" s="1"/>
      <c r="K269" s="1"/>
      <c r="L269" s="1"/>
      <c r="M269" s="1"/>
      <c r="N269" s="1"/>
      <c r="O269" s="1">
        <f>AVERAGE(O265:O268)</f>
        <v>6.6309505221573608E-3</v>
      </c>
      <c r="P269" s="1">
        <f>AVERAGE(P265:P268)</f>
        <v>-4.5566044915758292E-3</v>
      </c>
      <c r="Q269" s="1">
        <f>AVERAGE(Q265:Q268)</f>
        <v>-4.395798897081523E-3</v>
      </c>
    </row>
    <row r="270" spans="1:17" ht="15" thickBot="1" x14ac:dyDescent="0.35"/>
    <row r="271" spans="1:17" ht="15" thickBot="1" x14ac:dyDescent="0.35">
      <c r="A271" s="1" t="s">
        <v>27</v>
      </c>
      <c r="B271" s="3">
        <v>29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 thickBot="1" x14ac:dyDescent="0.35">
      <c r="A272" s="8" t="s">
        <v>7</v>
      </c>
      <c r="B272" s="20" t="s">
        <v>8</v>
      </c>
      <c r="C272" s="22"/>
      <c r="D272" s="1"/>
      <c r="E272" s="20" t="s">
        <v>9</v>
      </c>
      <c r="F272" s="22"/>
      <c r="G272" s="7"/>
      <c r="H272" s="8" t="s">
        <v>10</v>
      </c>
      <c r="I272" s="9" t="s">
        <v>11</v>
      </c>
      <c r="J272" s="1"/>
      <c r="K272" s="10"/>
      <c r="L272" s="23" t="s">
        <v>12</v>
      </c>
      <c r="M272" s="16"/>
      <c r="N272" s="24"/>
      <c r="O272" s="25" t="s">
        <v>13</v>
      </c>
      <c r="P272" s="26"/>
      <c r="Q272" s="27"/>
    </row>
    <row r="273" spans="1:17" ht="15" thickBot="1" x14ac:dyDescent="0.35">
      <c r="A273" s="11" t="s">
        <v>14</v>
      </c>
      <c r="B273" s="11" t="s">
        <v>15</v>
      </c>
      <c r="C273" s="11" t="s">
        <v>16</v>
      </c>
      <c r="D273" s="4"/>
      <c r="E273" s="11" t="s">
        <v>17</v>
      </c>
      <c r="F273" s="11" t="s">
        <v>18</v>
      </c>
      <c r="G273" s="11" t="s">
        <v>19</v>
      </c>
      <c r="H273" s="11" t="s">
        <v>20</v>
      </c>
      <c r="I273" s="12" t="s">
        <v>21</v>
      </c>
      <c r="J273" s="13" t="s">
        <v>22</v>
      </c>
      <c r="K273" s="14" t="s">
        <v>23</v>
      </c>
      <c r="L273" s="13" t="s">
        <v>24</v>
      </c>
      <c r="M273" s="13" t="s">
        <v>25</v>
      </c>
      <c r="N273" s="14" t="s">
        <v>26</v>
      </c>
      <c r="O273" s="13" t="s">
        <v>24</v>
      </c>
      <c r="P273" s="13" t="s">
        <v>25</v>
      </c>
      <c r="Q273" s="13" t="s">
        <v>26</v>
      </c>
    </row>
    <row r="274" spans="1:17" ht="15" thickBot="1" x14ac:dyDescent="0.35">
      <c r="A274" s="1">
        <f>A265-$C$9*O269</f>
        <v>-4.7518238642014694</v>
      </c>
      <c r="B274" s="1">
        <f>B265-$C$9*P269</f>
        <v>3.0870032202216455</v>
      </c>
      <c r="C274" s="1">
        <f>C265-$C$9*Q269</f>
        <v>3.0950043984519029</v>
      </c>
      <c r="D274" s="1"/>
      <c r="E274" s="3">
        <v>0</v>
      </c>
      <c r="F274" s="3">
        <v>0</v>
      </c>
      <c r="G274" s="1">
        <f>A274+(B274*E274)+(C274*F274)</f>
        <v>-4.7518238642014694</v>
      </c>
      <c r="H274" s="1">
        <f>1/(1+EXP(-G274))</f>
        <v>8.5619893260071595E-3</v>
      </c>
      <c r="I274" s="10">
        <f>($C$4-H274)^2</f>
        <v>7.3307661218660535E-5</v>
      </c>
      <c r="J274" s="1">
        <f>2*(H274-$C$4)</f>
        <v>1.7123978652014319E-2</v>
      </c>
      <c r="K274" s="10">
        <f xml:space="preserve"> EXP(-G274)/POWER(1+EXP(-G274),2)</f>
        <v>8.4886816647884982E-3</v>
      </c>
      <c r="L274" s="1">
        <v>1</v>
      </c>
      <c r="M274" s="1">
        <f>E274</f>
        <v>0</v>
      </c>
      <c r="N274" s="10">
        <f>F274</f>
        <v>0</v>
      </c>
      <c r="O274" s="1">
        <f>J274*K274*L274</f>
        <v>1.4536000361158361E-4</v>
      </c>
      <c r="P274" s="1">
        <f>J274*K274*M274</f>
        <v>0</v>
      </c>
      <c r="Q274" s="1">
        <f>J274*K274*N274</f>
        <v>0</v>
      </c>
    </row>
    <row r="275" spans="1:17" ht="15" thickBot="1" x14ac:dyDescent="0.35">
      <c r="A275" s="1"/>
      <c r="B275" s="1"/>
      <c r="C275" s="1"/>
      <c r="D275" s="1"/>
      <c r="E275" s="3">
        <v>0</v>
      </c>
      <c r="F275" s="3">
        <v>1</v>
      </c>
      <c r="G275" s="1">
        <f>A274+(B274*E275)+(C274*F275)</f>
        <v>-1.6568194657495665</v>
      </c>
      <c r="H275" s="1">
        <f t="shared" ref="H275:H276" si="206">1/(1+EXP(-G275))</f>
        <v>0.16018940798018114</v>
      </c>
      <c r="I275" s="10">
        <f>($C$5-H275)^2</f>
        <v>2.566064642904092E-2</v>
      </c>
      <c r="J275" s="1">
        <f>2*(H275-$C$5)</f>
        <v>0.32037881596036227</v>
      </c>
      <c r="K275" s="10">
        <f t="shared" ref="K275:K277" si="207" xml:space="preserve"> EXP(-G275)/POWER(1+EXP(-G275),2)</f>
        <v>0.13452876155114021</v>
      </c>
      <c r="L275" s="1">
        <v>1</v>
      </c>
      <c r="M275" s="1">
        <f t="shared" ref="M275:M277" si="208">E275</f>
        <v>0</v>
      </c>
      <c r="N275" s="10">
        <f t="shared" ref="N275:N277" si="209">F275</f>
        <v>1</v>
      </c>
      <c r="O275" s="1">
        <f t="shared" ref="O275:O277" si="210">J275*K275*L275</f>
        <v>4.3100165338368211E-2</v>
      </c>
      <c r="P275" s="1">
        <f t="shared" ref="P275:P277" si="211">J275*K275*M275</f>
        <v>0</v>
      </c>
      <c r="Q275" s="1">
        <f t="shared" ref="Q275:Q277" si="212">J275*K275*N275</f>
        <v>4.3100165338368211E-2</v>
      </c>
    </row>
    <row r="276" spans="1:17" ht="15" thickBot="1" x14ac:dyDescent="0.35">
      <c r="A276" s="1"/>
      <c r="B276" s="1"/>
      <c r="C276" s="1"/>
      <c r="D276" s="1"/>
      <c r="E276" s="3">
        <v>1</v>
      </c>
      <c r="F276" s="3">
        <v>0</v>
      </c>
      <c r="G276" s="1">
        <f>A274+(B274*E276)+(C274*F276)</f>
        <v>-1.6648206439798239</v>
      </c>
      <c r="H276" s="1">
        <f t="shared" si="206"/>
        <v>0.15911594373469223</v>
      </c>
      <c r="I276" s="10">
        <f>($C$6-H276)^2</f>
        <v>2.5317883550581746E-2</v>
      </c>
      <c r="J276" s="1">
        <f>2*(H276-$C$6)</f>
        <v>0.31823188746938447</v>
      </c>
      <c r="K276" s="10">
        <f t="shared" si="207"/>
        <v>0.1337980601841105</v>
      </c>
      <c r="L276" s="1">
        <v>1</v>
      </c>
      <c r="M276" s="1">
        <f t="shared" si="208"/>
        <v>1</v>
      </c>
      <c r="N276" s="10">
        <f t="shared" si="209"/>
        <v>0</v>
      </c>
      <c r="O276" s="1">
        <f t="shared" si="210"/>
        <v>4.2578809232131781E-2</v>
      </c>
      <c r="P276" s="1">
        <f t="shared" si="211"/>
        <v>4.2578809232131781E-2</v>
      </c>
      <c r="Q276" s="1">
        <f t="shared" si="212"/>
        <v>0</v>
      </c>
    </row>
    <row r="277" spans="1:17" ht="15" thickBot="1" x14ac:dyDescent="0.35">
      <c r="A277" s="1"/>
      <c r="B277" s="1"/>
      <c r="C277" s="1"/>
      <c r="D277" s="1"/>
      <c r="E277" s="3">
        <v>1</v>
      </c>
      <c r="F277" s="3">
        <v>1</v>
      </c>
      <c r="G277" s="1">
        <f>A274+(B274*E277)+(C274*F277)</f>
        <v>1.430183754472079</v>
      </c>
      <c r="H277" s="1">
        <f>1/(1+EXP(-G277))</f>
        <v>0.80692994522722339</v>
      </c>
      <c r="I277" s="10">
        <f>($C$7-H277)^2</f>
        <v>3.7276046049962958E-2</v>
      </c>
      <c r="J277" s="1">
        <f>2*(H277-$C$7)</f>
        <v>-0.38614010954555322</v>
      </c>
      <c r="K277" s="10">
        <f t="shared" si="207"/>
        <v>0.15579400872281365</v>
      </c>
      <c r="L277" s="1">
        <v>1</v>
      </c>
      <c r="M277" s="1">
        <f t="shared" si="208"/>
        <v>1</v>
      </c>
      <c r="N277" s="10">
        <f t="shared" si="209"/>
        <v>1</v>
      </c>
      <c r="O277" s="1">
        <f t="shared" si="210"/>
        <v>-6.0158315594768141E-2</v>
      </c>
      <c r="P277" s="1">
        <f t="shared" si="211"/>
        <v>-6.0158315594768141E-2</v>
      </c>
      <c r="Q277" s="1">
        <f t="shared" si="212"/>
        <v>-6.0158315594768141E-2</v>
      </c>
    </row>
    <row r="278" spans="1:17" ht="15" thickBot="1" x14ac:dyDescent="0.35">
      <c r="A278" s="1"/>
      <c r="B278" s="1"/>
      <c r="C278" s="1"/>
      <c r="D278" s="1"/>
      <c r="E278" s="1"/>
      <c r="F278" s="1"/>
      <c r="G278" s="1"/>
      <c r="H278" s="1"/>
      <c r="I278" s="10">
        <f>SUM(I274:I277)</f>
        <v>8.8327883690804285E-2</v>
      </c>
      <c r="J278" s="1"/>
      <c r="K278" s="1"/>
      <c r="L278" s="1"/>
      <c r="M278" s="1"/>
      <c r="N278" s="1"/>
      <c r="O278" s="1">
        <f>AVERAGE(O274:O277)</f>
        <v>6.4165047448358561E-3</v>
      </c>
      <c r="P278" s="1">
        <f>AVERAGE(P274:P277)</f>
        <v>-4.39487659065909E-3</v>
      </c>
      <c r="Q278" s="1">
        <f>AVERAGE(Q274:Q277)</f>
        <v>-4.2645375640999825E-3</v>
      </c>
    </row>
    <row r="279" spans="1:17" ht="15" thickBot="1" x14ac:dyDescent="0.35"/>
    <row r="280" spans="1:17" ht="15" thickBot="1" x14ac:dyDescent="0.35">
      <c r="A280" s="1" t="s">
        <v>27</v>
      </c>
      <c r="B280" s="3">
        <v>30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 thickBot="1" x14ac:dyDescent="0.35">
      <c r="A281" s="8" t="s">
        <v>7</v>
      </c>
      <c r="B281" s="20" t="s">
        <v>8</v>
      </c>
      <c r="C281" s="22"/>
      <c r="D281" s="1"/>
      <c r="E281" s="20" t="s">
        <v>9</v>
      </c>
      <c r="F281" s="22"/>
      <c r="G281" s="7"/>
      <c r="H281" s="8" t="s">
        <v>10</v>
      </c>
      <c r="I281" s="9" t="s">
        <v>11</v>
      </c>
      <c r="J281" s="1"/>
      <c r="K281" s="10"/>
      <c r="L281" s="23" t="s">
        <v>12</v>
      </c>
      <c r="M281" s="16"/>
      <c r="N281" s="24"/>
      <c r="O281" s="25" t="s">
        <v>13</v>
      </c>
      <c r="P281" s="26"/>
      <c r="Q281" s="27"/>
    </row>
    <row r="282" spans="1:17" ht="15" thickBot="1" x14ac:dyDescent="0.35">
      <c r="A282" s="11" t="s">
        <v>14</v>
      </c>
      <c r="B282" s="11" t="s">
        <v>15</v>
      </c>
      <c r="C282" s="11" t="s">
        <v>16</v>
      </c>
      <c r="D282" s="4"/>
      <c r="E282" s="11" t="s">
        <v>17</v>
      </c>
      <c r="F282" s="11" t="s">
        <v>18</v>
      </c>
      <c r="G282" s="11" t="s">
        <v>19</v>
      </c>
      <c r="H282" s="11" t="s">
        <v>20</v>
      </c>
      <c r="I282" s="12" t="s">
        <v>21</v>
      </c>
      <c r="J282" s="13" t="s">
        <v>22</v>
      </c>
      <c r="K282" s="14" t="s">
        <v>23</v>
      </c>
      <c r="L282" s="13" t="s">
        <v>24</v>
      </c>
      <c r="M282" s="13" t="s">
        <v>25</v>
      </c>
      <c r="N282" s="14" t="s">
        <v>26</v>
      </c>
      <c r="O282" s="13" t="s">
        <v>24</v>
      </c>
      <c r="P282" s="13" t="s">
        <v>25</v>
      </c>
      <c r="Q282" s="13" t="s">
        <v>26</v>
      </c>
    </row>
    <row r="283" spans="1:17" ht="15" thickBot="1" x14ac:dyDescent="0.35">
      <c r="A283" s="1">
        <f>A274-$C$9*O278</f>
        <v>-4.8159889116498276</v>
      </c>
      <c r="B283" s="1">
        <f>B274-$C$9*P278</f>
        <v>3.1309519861282364</v>
      </c>
      <c r="C283" s="1">
        <f>C274-$C$9*Q278</f>
        <v>3.1376497740929028</v>
      </c>
      <c r="D283" s="1"/>
      <c r="E283" s="3">
        <v>0</v>
      </c>
      <c r="F283" s="3">
        <v>0</v>
      </c>
      <c r="G283" s="1">
        <f>A283+(B283*E283)+(C283*F283)</f>
        <v>-4.8159889116498276</v>
      </c>
      <c r="H283" s="1">
        <f>1/(1+EXP(-G283))</f>
        <v>8.0341385494962399E-3</v>
      </c>
      <c r="I283" s="10">
        <f>($C$4-H283)^2</f>
        <v>6.4547382232501541E-5</v>
      </c>
      <c r="J283" s="1">
        <f>2*(H283-$C$4)</f>
        <v>1.606827709899248E-2</v>
      </c>
      <c r="K283" s="10">
        <f xml:space="preserve"> EXP(-G283)/POWER(1+EXP(-G283),2)</f>
        <v>7.9695911672637391E-3</v>
      </c>
      <c r="L283" s="1">
        <v>1</v>
      </c>
      <c r="M283" s="1">
        <f>E283</f>
        <v>0</v>
      </c>
      <c r="N283" s="10">
        <f>F283</f>
        <v>0</v>
      </c>
      <c r="O283" s="1">
        <f>J283*K283*L283</f>
        <v>1.2805759924127669E-4</v>
      </c>
      <c r="P283" s="1">
        <f>J283*K283*M283</f>
        <v>0</v>
      </c>
      <c r="Q283" s="1">
        <f>J283*K283*N283</f>
        <v>0</v>
      </c>
    </row>
    <row r="284" spans="1:17" ht="15" thickBot="1" x14ac:dyDescent="0.35">
      <c r="A284" s="1"/>
      <c r="B284" s="1"/>
      <c r="C284" s="1"/>
      <c r="D284" s="1"/>
      <c r="E284" s="3">
        <v>0</v>
      </c>
      <c r="F284" s="3">
        <v>1</v>
      </c>
      <c r="G284" s="1">
        <f>A283+(B283*E284)+(C283*F284)</f>
        <v>-1.6783391375569248</v>
      </c>
      <c r="H284" s="1">
        <f t="shared" ref="H284:H285" si="213">1/(1+EXP(-G284))</f>
        <v>0.1573155197203138</v>
      </c>
      <c r="I284" s="10">
        <f>($C$5-H284)^2</f>
        <v>2.474817274487244E-2</v>
      </c>
      <c r="J284" s="1">
        <f>2*(H284-$C$5)</f>
        <v>0.31463103944062759</v>
      </c>
      <c r="K284" s="10">
        <f t="shared" ref="K284:K286" si="214" xml:space="preserve"> EXP(-G284)/POWER(1+EXP(-G284),2)</f>
        <v>0.13256734697544137</v>
      </c>
      <c r="L284" s="1">
        <v>1</v>
      </c>
      <c r="M284" s="1">
        <f t="shared" ref="M284:M286" si="215">E284</f>
        <v>0</v>
      </c>
      <c r="N284" s="10">
        <f t="shared" ref="N284:N286" si="216">F284</f>
        <v>1</v>
      </c>
      <c r="O284" s="1">
        <f t="shared" ref="O284:O286" si="217">J284*K284*L284</f>
        <v>4.1709802174769453E-2</v>
      </c>
      <c r="P284" s="1">
        <f t="shared" ref="P284:P286" si="218">J284*K284*M284</f>
        <v>0</v>
      </c>
      <c r="Q284" s="1">
        <f t="shared" ref="Q284:Q286" si="219">J284*K284*N284</f>
        <v>4.1709802174769453E-2</v>
      </c>
    </row>
    <row r="285" spans="1:17" ht="15" thickBot="1" x14ac:dyDescent="0.35">
      <c r="A285" s="1"/>
      <c r="B285" s="1"/>
      <c r="C285" s="1"/>
      <c r="D285" s="1"/>
      <c r="E285" s="3">
        <v>1</v>
      </c>
      <c r="F285" s="3">
        <v>0</v>
      </c>
      <c r="G285" s="1">
        <f>A283+(B283*E285)+(C283*F285)</f>
        <v>-1.6850369255215911</v>
      </c>
      <c r="H285" s="1">
        <f t="shared" si="213"/>
        <v>0.15642964832775455</v>
      </c>
      <c r="I285" s="10">
        <f>($C$6-H285)^2</f>
        <v>2.4470234875944963E-2</v>
      </c>
      <c r="J285" s="1">
        <f>2*(H285-$C$6)</f>
        <v>0.3128592966555091</v>
      </c>
      <c r="K285" s="10">
        <f t="shared" si="214"/>
        <v>0.13195941345180959</v>
      </c>
      <c r="L285" s="1">
        <v>1</v>
      </c>
      <c r="M285" s="1">
        <f t="shared" si="215"/>
        <v>1</v>
      </c>
      <c r="N285" s="10">
        <f t="shared" si="216"/>
        <v>0</v>
      </c>
      <c r="O285" s="1">
        <f t="shared" si="217"/>
        <v>4.1284729279606677E-2</v>
      </c>
      <c r="P285" s="1">
        <f t="shared" si="218"/>
        <v>4.1284729279606677E-2</v>
      </c>
      <c r="Q285" s="1">
        <f t="shared" si="219"/>
        <v>0</v>
      </c>
    </row>
    <row r="286" spans="1:17" ht="15" thickBot="1" x14ac:dyDescent="0.35">
      <c r="A286" s="1"/>
      <c r="B286" s="1"/>
      <c r="C286" s="1"/>
      <c r="D286" s="1"/>
      <c r="E286" s="3">
        <v>1</v>
      </c>
      <c r="F286" s="3">
        <v>1</v>
      </c>
      <c r="G286" s="1">
        <f>A283+(B283*E286)+(C283*F286)</f>
        <v>1.4526128485713117</v>
      </c>
      <c r="H286" s="1">
        <f>1/(1+EXP(-G286))</f>
        <v>0.81040022824321278</v>
      </c>
      <c r="I286" s="10">
        <f>($C$7-H286)^2</f>
        <v>3.5948073450225805E-2</v>
      </c>
      <c r="J286" s="1">
        <f>2*(H286-$C$7)</f>
        <v>-0.37919954351357443</v>
      </c>
      <c r="K286" s="10">
        <f t="shared" si="214"/>
        <v>0.15365169830656142</v>
      </c>
      <c r="L286" s="1">
        <v>1</v>
      </c>
      <c r="M286" s="1">
        <f t="shared" si="215"/>
        <v>1</v>
      </c>
      <c r="N286" s="10">
        <f t="shared" si="216"/>
        <v>1</v>
      </c>
      <c r="O286" s="1">
        <f t="shared" si="217"/>
        <v>-5.826465385793355E-2</v>
      </c>
      <c r="P286" s="1">
        <f t="shared" si="218"/>
        <v>-5.826465385793355E-2</v>
      </c>
      <c r="Q286" s="1">
        <f t="shared" si="219"/>
        <v>-5.826465385793355E-2</v>
      </c>
    </row>
    <row r="287" spans="1:17" ht="15" thickBot="1" x14ac:dyDescent="0.35">
      <c r="A287" s="1"/>
      <c r="B287" s="1"/>
      <c r="C287" s="1"/>
      <c r="D287" s="1"/>
      <c r="E287" s="1"/>
      <c r="F287" s="1"/>
      <c r="G287" s="1"/>
      <c r="H287" s="1"/>
      <c r="I287" s="10">
        <f>SUM(I283:I286)</f>
        <v>8.5231028453275709E-2</v>
      </c>
      <c r="J287" s="1"/>
      <c r="K287" s="1"/>
      <c r="L287" s="1"/>
      <c r="M287" s="1"/>
      <c r="N287" s="1"/>
      <c r="O287" s="1">
        <f>AVERAGE(O283:O286)</f>
        <v>6.2144837989209657E-3</v>
      </c>
      <c r="P287" s="1">
        <f>AVERAGE(P283:P286)</f>
        <v>-4.2449811445817182E-3</v>
      </c>
      <c r="Q287" s="1">
        <f>AVERAGE(Q283:Q286)</f>
        <v>-4.1387129207910243E-3</v>
      </c>
    </row>
    <row r="288" spans="1:17" ht="15" thickBot="1" x14ac:dyDescent="0.35"/>
    <row r="289" spans="1:17" ht="15" thickBot="1" x14ac:dyDescent="0.35">
      <c r="A289" s="1" t="s">
        <v>27</v>
      </c>
      <c r="B289" s="3">
        <v>31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 thickBot="1" x14ac:dyDescent="0.35">
      <c r="A290" s="8" t="s">
        <v>7</v>
      </c>
      <c r="B290" s="20" t="s">
        <v>8</v>
      </c>
      <c r="C290" s="22"/>
      <c r="D290" s="1"/>
      <c r="E290" s="20" t="s">
        <v>9</v>
      </c>
      <c r="F290" s="22"/>
      <c r="G290" s="7"/>
      <c r="H290" s="8" t="s">
        <v>10</v>
      </c>
      <c r="I290" s="9" t="s">
        <v>11</v>
      </c>
      <c r="J290" s="1"/>
      <c r="K290" s="10"/>
      <c r="L290" s="23" t="s">
        <v>12</v>
      </c>
      <c r="M290" s="16"/>
      <c r="N290" s="24"/>
      <c r="O290" s="25" t="s">
        <v>13</v>
      </c>
      <c r="P290" s="26"/>
      <c r="Q290" s="27"/>
    </row>
    <row r="291" spans="1:17" ht="15" thickBot="1" x14ac:dyDescent="0.35">
      <c r="A291" s="11" t="s">
        <v>14</v>
      </c>
      <c r="B291" s="11" t="s">
        <v>15</v>
      </c>
      <c r="C291" s="11" t="s">
        <v>16</v>
      </c>
      <c r="D291" s="4"/>
      <c r="E291" s="11" t="s">
        <v>17</v>
      </c>
      <c r="F291" s="11" t="s">
        <v>18</v>
      </c>
      <c r="G291" s="11" t="s">
        <v>19</v>
      </c>
      <c r="H291" s="11" t="s">
        <v>20</v>
      </c>
      <c r="I291" s="12" t="s">
        <v>21</v>
      </c>
      <c r="J291" s="13" t="s">
        <v>22</v>
      </c>
      <c r="K291" s="14" t="s">
        <v>23</v>
      </c>
      <c r="L291" s="13" t="s">
        <v>24</v>
      </c>
      <c r="M291" s="13" t="s">
        <v>25</v>
      </c>
      <c r="N291" s="14" t="s">
        <v>26</v>
      </c>
      <c r="O291" s="13" t="s">
        <v>24</v>
      </c>
      <c r="P291" s="13" t="s">
        <v>25</v>
      </c>
      <c r="Q291" s="13" t="s">
        <v>26</v>
      </c>
    </row>
    <row r="292" spans="1:17" ht="15" thickBot="1" x14ac:dyDescent="0.35">
      <c r="A292" s="1">
        <f>A283-$C$9*O287</f>
        <v>-4.8781337496390371</v>
      </c>
      <c r="B292" s="1">
        <f>B283-$C$9*P287</f>
        <v>3.1734017975740536</v>
      </c>
      <c r="C292" s="1">
        <f>C283-$C$9*Q287</f>
        <v>3.1790369033008132</v>
      </c>
      <c r="D292" s="1"/>
      <c r="E292" s="3">
        <v>0</v>
      </c>
      <c r="F292" s="3">
        <v>0</v>
      </c>
      <c r="G292" s="1">
        <f>A292+(B292*E292)+(C292*F292)</f>
        <v>-4.8781337496390371</v>
      </c>
      <c r="H292" s="1">
        <f>1/(1+EXP(-G292))</f>
        <v>7.5537123411480245E-3</v>
      </c>
      <c r="I292" s="10">
        <f>($C$4-H292)^2</f>
        <v>5.7058570132811968E-5</v>
      </c>
      <c r="J292" s="1">
        <f>2*(H292-$C$4)</f>
        <v>1.5107424682296049E-2</v>
      </c>
      <c r="K292" s="10">
        <f xml:space="preserve"> EXP(-G292)/POWER(1+EXP(-G292),2)</f>
        <v>7.4966537710152124E-3</v>
      </c>
      <c r="L292" s="1">
        <v>1</v>
      </c>
      <c r="M292" s="1">
        <f>E292</f>
        <v>0</v>
      </c>
      <c r="N292" s="10">
        <f>F292</f>
        <v>0</v>
      </c>
      <c r="O292" s="1">
        <f>J292*K292*L292</f>
        <v>1.1325513221486297E-4</v>
      </c>
      <c r="P292" s="1">
        <f>J292*K292*M292</f>
        <v>0</v>
      </c>
      <c r="Q292" s="1">
        <f>J292*K292*N292</f>
        <v>0</v>
      </c>
    </row>
    <row r="293" spans="1:17" ht="15" thickBot="1" x14ac:dyDescent="0.35">
      <c r="A293" s="1"/>
      <c r="B293" s="1"/>
      <c r="C293" s="1"/>
      <c r="D293" s="1"/>
      <c r="E293" s="3">
        <v>0</v>
      </c>
      <c r="F293" s="3">
        <v>1</v>
      </c>
      <c r="G293" s="1">
        <f>A292+(B292*E293)+(C292*F293)</f>
        <v>-1.6990968463382239</v>
      </c>
      <c r="H293" s="1">
        <f t="shared" ref="H293:H294" si="220">1/(1+EXP(-G293))</f>
        <v>0.15458325895659711</v>
      </c>
      <c r="I293" s="10">
        <f>($C$5-H293)^2</f>
        <v>2.389598394964236E-2</v>
      </c>
      <c r="J293" s="1">
        <f>2*(H293-$C$5)</f>
        <v>0.30916651791319422</v>
      </c>
      <c r="K293" s="10">
        <f t="shared" ref="K293:K295" si="221" xml:space="preserve"> EXP(-G293)/POWER(1+EXP(-G293),2)</f>
        <v>0.13068727500695476</v>
      </c>
      <c r="L293" s="1">
        <v>1</v>
      </c>
      <c r="M293" s="1">
        <f t="shared" ref="M293:M295" si="222">E293</f>
        <v>0</v>
      </c>
      <c r="N293" s="10">
        <f t="shared" ref="N293:N295" si="223">F293</f>
        <v>1</v>
      </c>
      <c r="O293" s="1">
        <f t="shared" ref="O293:O295" si="224">J293*K293*L293</f>
        <v>4.0404129749464217E-2</v>
      </c>
      <c r="P293" s="1">
        <f t="shared" ref="P293:P295" si="225">J293*K293*M293</f>
        <v>0</v>
      </c>
      <c r="Q293" s="1">
        <f t="shared" ref="Q293:Q295" si="226">J293*K293*N293</f>
        <v>4.0404129749464217E-2</v>
      </c>
    </row>
    <row r="294" spans="1:17" ht="15" thickBot="1" x14ac:dyDescent="0.35">
      <c r="A294" s="1"/>
      <c r="B294" s="1"/>
      <c r="C294" s="1"/>
      <c r="D294" s="1"/>
      <c r="E294" s="3">
        <v>1</v>
      </c>
      <c r="F294" s="3">
        <v>0</v>
      </c>
      <c r="G294" s="1">
        <f>A292+(B292*E294)+(C292*F294)</f>
        <v>-1.7047319520649835</v>
      </c>
      <c r="H294" s="1">
        <f t="shared" si="220"/>
        <v>0.15384825494555956</v>
      </c>
      <c r="I294" s="10">
        <f>($C$6-H294)^2</f>
        <v>2.3669285549793893E-2</v>
      </c>
      <c r="J294" s="1">
        <f>2*(H294-$C$6)</f>
        <v>0.30769650989111913</v>
      </c>
      <c r="K294" s="10">
        <f t="shared" si="221"/>
        <v>0.13017896939576568</v>
      </c>
      <c r="L294" s="1">
        <v>1</v>
      </c>
      <c r="M294" s="1">
        <f t="shared" si="222"/>
        <v>1</v>
      </c>
      <c r="N294" s="10">
        <f t="shared" si="223"/>
        <v>0</v>
      </c>
      <c r="O294" s="1">
        <f t="shared" si="224"/>
        <v>4.0055614544299907E-2</v>
      </c>
      <c r="P294" s="1">
        <f t="shared" si="225"/>
        <v>4.0055614544299907E-2</v>
      </c>
      <c r="Q294" s="1">
        <f t="shared" si="226"/>
        <v>0</v>
      </c>
    </row>
    <row r="295" spans="1:17" ht="15" thickBot="1" x14ac:dyDescent="0.35">
      <c r="A295" s="1"/>
      <c r="B295" s="1"/>
      <c r="C295" s="1"/>
      <c r="D295" s="1"/>
      <c r="E295" s="3">
        <v>1</v>
      </c>
      <c r="F295" s="3">
        <v>1</v>
      </c>
      <c r="G295" s="1">
        <f>A292+(B292*E295)+(C292*F295)</f>
        <v>1.4743049512358297</v>
      </c>
      <c r="H295" s="1">
        <f>1/(1+EXP(-G295))</f>
        <v>0.81371083574826797</v>
      </c>
      <c r="I295" s="10">
        <f>($C$7-H295)^2</f>
        <v>3.4703652717608793E-2</v>
      </c>
      <c r="J295" s="1">
        <f>2*(H295-$C$7)</f>
        <v>-0.37257832850346406</v>
      </c>
      <c r="K295" s="10">
        <f t="shared" si="221"/>
        <v>0.15158551153412331</v>
      </c>
      <c r="L295" s="1">
        <v>1</v>
      </c>
      <c r="M295" s="1">
        <f t="shared" si="222"/>
        <v>1</v>
      </c>
      <c r="N295" s="10">
        <f t="shared" si="223"/>
        <v>1</v>
      </c>
      <c r="O295" s="1">
        <f t="shared" si="224"/>
        <v>-5.6477476512726235E-2</v>
      </c>
      <c r="P295" s="1">
        <f t="shared" si="225"/>
        <v>-5.6477476512726235E-2</v>
      </c>
      <c r="Q295" s="1">
        <f t="shared" si="226"/>
        <v>-5.6477476512726235E-2</v>
      </c>
    </row>
    <row r="296" spans="1:17" ht="15" thickBot="1" x14ac:dyDescent="0.35">
      <c r="A296" s="1"/>
      <c r="B296" s="1"/>
      <c r="C296" s="1"/>
      <c r="D296" s="1"/>
      <c r="E296" s="1"/>
      <c r="F296" s="1"/>
      <c r="G296" s="1"/>
      <c r="H296" s="1"/>
      <c r="I296" s="10">
        <f>SUM(I292:I295)</f>
        <v>8.2325980787177858E-2</v>
      </c>
      <c r="J296" s="1"/>
      <c r="K296" s="1"/>
      <c r="L296" s="1"/>
      <c r="M296" s="1"/>
      <c r="N296" s="1"/>
      <c r="O296" s="1">
        <f>AVERAGE(O292:O295)</f>
        <v>6.0238807283131864E-3</v>
      </c>
      <c r="P296" s="1">
        <f>AVERAGE(P292:P295)</f>
        <v>-4.105465492106582E-3</v>
      </c>
      <c r="Q296" s="1">
        <f>AVERAGE(Q292:Q295)</f>
        <v>-4.0183366908155046E-3</v>
      </c>
    </row>
    <row r="297" spans="1:17" ht="15" thickBot="1" x14ac:dyDescent="0.35"/>
    <row r="298" spans="1:17" ht="15" thickBot="1" x14ac:dyDescent="0.35">
      <c r="A298" s="1" t="s">
        <v>27</v>
      </c>
      <c r="B298" s="3">
        <v>32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 thickBot="1" x14ac:dyDescent="0.35">
      <c r="A299" s="8" t="s">
        <v>7</v>
      </c>
      <c r="B299" s="20" t="s">
        <v>8</v>
      </c>
      <c r="C299" s="22"/>
      <c r="D299" s="1"/>
      <c r="E299" s="20" t="s">
        <v>9</v>
      </c>
      <c r="F299" s="22"/>
      <c r="G299" s="7"/>
      <c r="H299" s="8" t="s">
        <v>10</v>
      </c>
      <c r="I299" s="9" t="s">
        <v>11</v>
      </c>
      <c r="J299" s="1"/>
      <c r="K299" s="10"/>
      <c r="L299" s="23" t="s">
        <v>12</v>
      </c>
      <c r="M299" s="16"/>
      <c r="N299" s="24"/>
      <c r="O299" s="25" t="s">
        <v>13</v>
      </c>
      <c r="P299" s="26"/>
      <c r="Q299" s="27"/>
    </row>
    <row r="300" spans="1:17" ht="15" thickBot="1" x14ac:dyDescent="0.35">
      <c r="A300" s="11" t="s">
        <v>14</v>
      </c>
      <c r="B300" s="11" t="s">
        <v>15</v>
      </c>
      <c r="C300" s="11" t="s">
        <v>16</v>
      </c>
      <c r="D300" s="4"/>
      <c r="E300" s="11" t="s">
        <v>17</v>
      </c>
      <c r="F300" s="11" t="s">
        <v>18</v>
      </c>
      <c r="G300" s="11" t="s">
        <v>19</v>
      </c>
      <c r="H300" s="11" t="s">
        <v>20</v>
      </c>
      <c r="I300" s="12" t="s">
        <v>21</v>
      </c>
      <c r="J300" s="13" t="s">
        <v>22</v>
      </c>
      <c r="K300" s="14" t="s">
        <v>23</v>
      </c>
      <c r="L300" s="13" t="s">
        <v>24</v>
      </c>
      <c r="M300" s="13" t="s">
        <v>25</v>
      </c>
      <c r="N300" s="14" t="s">
        <v>26</v>
      </c>
      <c r="O300" s="13" t="s">
        <v>24</v>
      </c>
      <c r="P300" s="13" t="s">
        <v>25</v>
      </c>
      <c r="Q300" s="13" t="s">
        <v>26</v>
      </c>
    </row>
    <row r="301" spans="1:17" ht="15" thickBot="1" x14ac:dyDescent="0.35">
      <c r="A301" s="1">
        <f>A292-$C$9*O296</f>
        <v>-4.938372556922169</v>
      </c>
      <c r="B301" s="1">
        <f>B292-$C$9*P296</f>
        <v>3.2144564524951194</v>
      </c>
      <c r="C301" s="1">
        <f>C292-$C$9*Q296</f>
        <v>3.2192202702089681</v>
      </c>
      <c r="D301" s="1"/>
      <c r="E301" s="3">
        <v>0</v>
      </c>
      <c r="F301" s="3">
        <v>0</v>
      </c>
      <c r="G301" s="1">
        <f>A301+(B301*E301)+(C301*F301)</f>
        <v>-4.938372556922169</v>
      </c>
      <c r="H301" s="1">
        <f>1/(1+EXP(-G301))</f>
        <v>7.1152617978684531E-3</v>
      </c>
      <c r="I301" s="10">
        <f>($C$4-H301)^2</f>
        <v>5.062695045220621E-5</v>
      </c>
      <c r="J301" s="1">
        <f>2*(H301-$C$4)</f>
        <v>1.4230523595736906E-2</v>
      </c>
      <c r="K301" s="10">
        <f xml:space="preserve"> EXP(-G301)/POWER(1+EXP(-G301),2)</f>
        <v>7.0646348474162467E-3</v>
      </c>
      <c r="L301" s="1">
        <v>1</v>
      </c>
      <c r="M301" s="1">
        <f>E301</f>
        <v>0</v>
      </c>
      <c r="N301" s="10">
        <f>F301</f>
        <v>0</v>
      </c>
      <c r="O301" s="1">
        <f>J301*K301*L301</f>
        <v>1.005334528914221E-4</v>
      </c>
      <c r="P301" s="1">
        <f>J301*K301*M301</f>
        <v>0</v>
      </c>
      <c r="Q301" s="1">
        <f>J301*K301*N301</f>
        <v>0</v>
      </c>
    </row>
    <row r="302" spans="1:17" ht="15" thickBot="1" x14ac:dyDescent="0.35">
      <c r="A302" s="1"/>
      <c r="B302" s="1"/>
      <c r="C302" s="1"/>
      <c r="D302" s="1"/>
      <c r="E302" s="3">
        <v>0</v>
      </c>
      <c r="F302" s="3">
        <v>1</v>
      </c>
      <c r="G302" s="1">
        <f>A301+(B301*E302)+(C301*F302)</f>
        <v>-1.719152286713201</v>
      </c>
      <c r="H302" s="1">
        <f t="shared" ref="H302:H303" si="227">1/(1+EXP(-G302))</f>
        <v>0.15198038670652175</v>
      </c>
      <c r="I302" s="10">
        <f>($C$5-H302)^2</f>
        <v>2.3098037943463896E-2</v>
      </c>
      <c r="J302" s="1">
        <f>2*(H302-$C$5)</f>
        <v>0.30396077341304351</v>
      </c>
      <c r="K302" s="10">
        <f t="shared" ref="K302:K304" si="228" xml:space="preserve"> EXP(-G302)/POWER(1+EXP(-G302),2)</f>
        <v>0.12888234876305785</v>
      </c>
      <c r="L302" s="1">
        <v>1</v>
      </c>
      <c r="M302" s="1">
        <f t="shared" ref="M302:M304" si="229">E302</f>
        <v>0</v>
      </c>
      <c r="N302" s="10">
        <f t="shared" ref="N302:N304" si="230">F302</f>
        <v>1</v>
      </c>
      <c r="O302" s="1">
        <f t="shared" ref="O302:O304" si="231">J302*K302*L302</f>
        <v>3.9175178409308675E-2</v>
      </c>
      <c r="P302" s="1">
        <f t="shared" ref="P302:P304" si="232">J302*K302*M302</f>
        <v>0</v>
      </c>
      <c r="Q302" s="1">
        <f t="shared" ref="Q302:Q304" si="233">J302*K302*N302</f>
        <v>3.9175178409308675E-2</v>
      </c>
    </row>
    <row r="303" spans="1:17" ht="15" thickBot="1" x14ac:dyDescent="0.35">
      <c r="A303" s="1"/>
      <c r="B303" s="1"/>
      <c r="C303" s="1"/>
      <c r="D303" s="1"/>
      <c r="E303" s="3">
        <v>1</v>
      </c>
      <c r="F303" s="3">
        <v>0</v>
      </c>
      <c r="G303" s="1">
        <f>A301+(B301*E303)+(C301*F303)</f>
        <v>-1.7239161044270497</v>
      </c>
      <c r="H303" s="1">
        <f t="shared" si="227"/>
        <v>0.15136743206839831</v>
      </c>
      <c r="I303" s="10">
        <f>($C$6-H303)^2</f>
        <v>2.2912099490981178E-2</v>
      </c>
      <c r="J303" s="1">
        <f>2*(H303-$C$6)</f>
        <v>0.30273486413679662</v>
      </c>
      <c r="K303" s="10">
        <f t="shared" si="228"/>
        <v>0.12845533257741715</v>
      </c>
      <c r="L303" s="1">
        <v>1</v>
      </c>
      <c r="M303" s="1">
        <f t="shared" si="229"/>
        <v>1</v>
      </c>
      <c r="N303" s="10">
        <f t="shared" si="230"/>
        <v>0</v>
      </c>
      <c r="O303" s="1">
        <f t="shared" si="231"/>
        <v>3.8887907655471406E-2</v>
      </c>
      <c r="P303" s="1">
        <f t="shared" si="232"/>
        <v>3.8887907655471406E-2</v>
      </c>
      <c r="Q303" s="1">
        <f t="shared" si="233"/>
        <v>0</v>
      </c>
    </row>
    <row r="304" spans="1:17" ht="15" thickBot="1" x14ac:dyDescent="0.35">
      <c r="A304" s="1"/>
      <c r="B304" s="1"/>
      <c r="C304" s="1"/>
      <c r="D304" s="1"/>
      <c r="E304" s="3">
        <v>1</v>
      </c>
      <c r="F304" s="3">
        <v>1</v>
      </c>
      <c r="G304" s="1">
        <f>A301+(B301*E304)+(C301*F304)</f>
        <v>1.4953041657819184</v>
      </c>
      <c r="H304" s="1">
        <f>1/(1+EXP(-G304))</f>
        <v>0.81687306447016483</v>
      </c>
      <c r="I304" s="10">
        <f>($C$7-H304)^2</f>
        <v>3.3535474516548404E-2</v>
      </c>
      <c r="J304" s="1">
        <f>2*(H304-$C$7)</f>
        <v>-0.36625387105967033</v>
      </c>
      <c r="K304" s="10">
        <f t="shared" si="228"/>
        <v>0.14959146101328682</v>
      </c>
      <c r="L304" s="1">
        <v>1</v>
      </c>
      <c r="M304" s="1">
        <f t="shared" si="229"/>
        <v>1</v>
      </c>
      <c r="N304" s="10">
        <f t="shared" si="230"/>
        <v>1</v>
      </c>
      <c r="O304" s="1">
        <f t="shared" si="231"/>
        <v>-5.4788451673588055E-2</v>
      </c>
      <c r="P304" s="1">
        <f t="shared" si="232"/>
        <v>-5.4788451673588055E-2</v>
      </c>
      <c r="Q304" s="1">
        <f t="shared" si="233"/>
        <v>-5.4788451673588055E-2</v>
      </c>
    </row>
    <row r="305" spans="1:17" ht="15" thickBot="1" x14ac:dyDescent="0.35">
      <c r="A305" s="1"/>
      <c r="B305" s="1"/>
      <c r="C305" s="1"/>
      <c r="D305" s="1"/>
      <c r="E305" s="1"/>
      <c r="F305" s="1"/>
      <c r="G305" s="1"/>
      <c r="H305" s="1"/>
      <c r="I305" s="10">
        <f>SUM(I301:I304)</f>
        <v>7.9596238901445682E-2</v>
      </c>
      <c r="J305" s="1"/>
      <c r="K305" s="1"/>
      <c r="L305" s="1"/>
      <c r="M305" s="1"/>
      <c r="N305" s="1"/>
      <c r="O305" s="1">
        <f>AVERAGE(O301:O304)</f>
        <v>5.8437919610208628E-3</v>
      </c>
      <c r="P305" s="1">
        <f>AVERAGE(P301:P304)</f>
        <v>-3.9751360045291624E-3</v>
      </c>
      <c r="Q305" s="1">
        <f>AVERAGE(Q301:Q304)</f>
        <v>-3.903318316069845E-3</v>
      </c>
    </row>
    <row r="306" spans="1:17" ht="15" thickBot="1" x14ac:dyDescent="0.35"/>
    <row r="307" spans="1:17" ht="15" thickBot="1" x14ac:dyDescent="0.35">
      <c r="A307" s="1" t="s">
        <v>27</v>
      </c>
      <c r="B307" s="3">
        <v>33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 thickBot="1" x14ac:dyDescent="0.35">
      <c r="A308" s="8" t="s">
        <v>7</v>
      </c>
      <c r="B308" s="20" t="s">
        <v>8</v>
      </c>
      <c r="C308" s="22"/>
      <c r="D308" s="1"/>
      <c r="E308" s="20" t="s">
        <v>9</v>
      </c>
      <c r="F308" s="22"/>
      <c r="G308" s="7"/>
      <c r="H308" s="8" t="s">
        <v>10</v>
      </c>
      <c r="I308" s="9" t="s">
        <v>11</v>
      </c>
      <c r="J308" s="1"/>
      <c r="K308" s="10"/>
      <c r="L308" s="23" t="s">
        <v>12</v>
      </c>
      <c r="M308" s="16"/>
      <c r="N308" s="24"/>
      <c r="O308" s="25" t="s">
        <v>13</v>
      </c>
      <c r="P308" s="26"/>
      <c r="Q308" s="27"/>
    </row>
    <row r="309" spans="1:17" ht="15" thickBot="1" x14ac:dyDescent="0.35">
      <c r="A309" s="11" t="s">
        <v>14</v>
      </c>
      <c r="B309" s="11" t="s">
        <v>15</v>
      </c>
      <c r="C309" s="11" t="s">
        <v>16</v>
      </c>
      <c r="D309" s="4"/>
      <c r="E309" s="11" t="s">
        <v>17</v>
      </c>
      <c r="F309" s="11" t="s">
        <v>18</v>
      </c>
      <c r="G309" s="11" t="s">
        <v>19</v>
      </c>
      <c r="H309" s="11" t="s">
        <v>20</v>
      </c>
      <c r="I309" s="12" t="s">
        <v>21</v>
      </c>
      <c r="J309" s="13" t="s">
        <v>22</v>
      </c>
      <c r="K309" s="14" t="s">
        <v>23</v>
      </c>
      <c r="L309" s="13" t="s">
        <v>24</v>
      </c>
      <c r="M309" s="13" t="s">
        <v>25</v>
      </c>
      <c r="N309" s="14" t="s">
        <v>26</v>
      </c>
      <c r="O309" s="13" t="s">
        <v>24</v>
      </c>
      <c r="P309" s="13" t="s">
        <v>25</v>
      </c>
      <c r="Q309" s="13" t="s">
        <v>26</v>
      </c>
    </row>
    <row r="310" spans="1:17" ht="15" thickBot="1" x14ac:dyDescent="0.35">
      <c r="A310" s="1">
        <f>A301-$C$9*O305</f>
        <v>-4.996810476532378</v>
      </c>
      <c r="B310" s="1">
        <f>B301-$C$9*P305</f>
        <v>3.254207812540411</v>
      </c>
      <c r="C310" s="1">
        <f>C301-$C$9*Q305</f>
        <v>3.2582534533696665</v>
      </c>
      <c r="D310" s="1"/>
      <c r="E310" s="3">
        <v>0</v>
      </c>
      <c r="F310" s="3">
        <v>0</v>
      </c>
      <c r="G310" s="1">
        <f>A310+(B310*E310)+(C310*F310)</f>
        <v>-4.996810476532378</v>
      </c>
      <c r="H310" s="1">
        <f>1/(1+EXP(-G310))</f>
        <v>6.7140884544890271E-3</v>
      </c>
      <c r="I310" s="10">
        <f>($C$4-H310)^2</f>
        <v>4.5078983774702852E-5</v>
      </c>
      <c r="J310" s="1">
        <f>2*(H310-$C$4)</f>
        <v>1.3428176908978054E-2</v>
      </c>
      <c r="K310" s="10">
        <f xml:space="preserve"> EXP(-G310)/POWER(1+EXP(-G310),2)</f>
        <v>6.6690094707143235E-3</v>
      </c>
      <c r="L310" s="1">
        <v>1</v>
      </c>
      <c r="M310" s="1">
        <f>E310</f>
        <v>0</v>
      </c>
      <c r="N310" s="10">
        <f>F310</f>
        <v>0</v>
      </c>
      <c r="O310" s="1">
        <f>J310*K310*L310</f>
        <v>8.9552638980402037E-5</v>
      </c>
      <c r="P310" s="1">
        <f>J310*K310*M310</f>
        <v>0</v>
      </c>
      <c r="Q310" s="1">
        <f>J310*K310*N310</f>
        <v>0</v>
      </c>
    </row>
    <row r="311" spans="1:17" ht="15" thickBot="1" x14ac:dyDescent="0.35">
      <c r="A311" s="1"/>
      <c r="B311" s="1"/>
      <c r="C311" s="1"/>
      <c r="D311" s="1"/>
      <c r="E311" s="3">
        <v>0</v>
      </c>
      <c r="F311" s="3">
        <v>1</v>
      </c>
      <c r="G311" s="1">
        <f>A310+(B310*E311)+(C310*F311)</f>
        <v>-1.7385570231627114</v>
      </c>
      <c r="H311" s="1">
        <f t="shared" ref="H311:H312" si="234">1/(1+EXP(-G311))</f>
        <v>0.14949631216611095</v>
      </c>
      <c r="I311" s="10">
        <f>($C$5-H311)^2</f>
        <v>2.2349147351267293E-2</v>
      </c>
      <c r="J311" s="1">
        <f>2*(H311-$C$5)</f>
        <v>0.2989926243322219</v>
      </c>
      <c r="K311" s="10">
        <f t="shared" ref="K311:K313" si="235" xml:space="preserve"> EXP(-G311)/POWER(1+EXP(-G311),2)</f>
        <v>0.12714716481484364</v>
      </c>
      <c r="L311" s="1">
        <v>1</v>
      </c>
      <c r="M311" s="1">
        <f t="shared" ref="M311:M313" si="236">E311</f>
        <v>0</v>
      </c>
      <c r="N311" s="10">
        <f t="shared" ref="N311:N313" si="237">F311</f>
        <v>1</v>
      </c>
      <c r="O311" s="1">
        <f t="shared" ref="O311:O313" si="238">J311*K311*L311</f>
        <v>3.8016064484391647E-2</v>
      </c>
      <c r="P311" s="1">
        <f t="shared" ref="P311:P313" si="239">J311*K311*M311</f>
        <v>0</v>
      </c>
      <c r="Q311" s="1">
        <f t="shared" ref="Q311:Q313" si="240">J311*K311*N311</f>
        <v>3.8016064484391647E-2</v>
      </c>
    </row>
    <row r="312" spans="1:17" ht="15" thickBot="1" x14ac:dyDescent="0.35">
      <c r="A312" s="1"/>
      <c r="B312" s="1"/>
      <c r="C312" s="1"/>
      <c r="D312" s="1"/>
      <c r="E312" s="3">
        <v>1</v>
      </c>
      <c r="F312" s="3">
        <v>0</v>
      </c>
      <c r="G312" s="1">
        <f>A310+(B310*E312)+(C310*F312)</f>
        <v>-1.7426026639919669</v>
      </c>
      <c r="H312" s="1">
        <f t="shared" si="234"/>
        <v>0.14898264948527476</v>
      </c>
      <c r="I312" s="10">
        <f>($C$6-H312)^2</f>
        <v>2.219582984765224E-2</v>
      </c>
      <c r="J312" s="1">
        <f>2*(H312-$C$6)</f>
        <v>0.29796529897054952</v>
      </c>
      <c r="K312" s="10">
        <f t="shared" si="235"/>
        <v>0.12678681963762253</v>
      </c>
      <c r="L312" s="1">
        <v>1</v>
      </c>
      <c r="M312" s="1">
        <f t="shared" si="236"/>
        <v>1</v>
      </c>
      <c r="N312" s="10">
        <f t="shared" si="237"/>
        <v>0</v>
      </c>
      <c r="O312" s="1">
        <f t="shared" si="238"/>
        <v>3.7778072618849336E-2</v>
      </c>
      <c r="P312" s="1">
        <f t="shared" si="239"/>
        <v>3.7778072618849336E-2</v>
      </c>
      <c r="Q312" s="1">
        <f t="shared" si="240"/>
        <v>0</v>
      </c>
    </row>
    <row r="313" spans="1:17" ht="15" thickBot="1" x14ac:dyDescent="0.35">
      <c r="A313" s="1"/>
      <c r="B313" s="1"/>
      <c r="C313" s="1"/>
      <c r="D313" s="1"/>
      <c r="E313" s="3">
        <v>1</v>
      </c>
      <c r="F313" s="3">
        <v>1</v>
      </c>
      <c r="G313" s="1">
        <f>A310+(B310*E313)+(C310*F313)</f>
        <v>1.5156507893776996</v>
      </c>
      <c r="H313" s="1">
        <f>1/(1+EXP(-G313))</f>
        <v>0.81989714415448567</v>
      </c>
      <c r="I313" s="10">
        <f>($C$7-H313)^2</f>
        <v>3.2437038683710118E-2</v>
      </c>
      <c r="J313" s="1">
        <f>2*(H313-$C$7)</f>
        <v>-0.36020571169102866</v>
      </c>
      <c r="K313" s="10">
        <f t="shared" si="235"/>
        <v>0.14766581716180416</v>
      </c>
      <c r="L313" s="1">
        <v>1</v>
      </c>
      <c r="M313" s="1">
        <f t="shared" si="236"/>
        <v>1</v>
      </c>
      <c r="N313" s="10">
        <f t="shared" si="237"/>
        <v>1</v>
      </c>
      <c r="O313" s="1">
        <f t="shared" si="238"/>
        <v>-5.3190070763204984E-2</v>
      </c>
      <c r="P313" s="1">
        <f t="shared" si="239"/>
        <v>-5.3190070763204984E-2</v>
      </c>
      <c r="Q313" s="1">
        <f t="shared" si="240"/>
        <v>-5.3190070763204984E-2</v>
      </c>
    </row>
    <row r="314" spans="1:17" ht="15" thickBot="1" x14ac:dyDescent="0.35">
      <c r="A314" s="1"/>
      <c r="B314" s="1"/>
      <c r="C314" s="1"/>
      <c r="D314" s="1"/>
      <c r="E314" s="1"/>
      <c r="F314" s="1"/>
      <c r="G314" s="1"/>
      <c r="H314" s="1"/>
      <c r="I314" s="10">
        <f>SUM(I310:I313)</f>
        <v>7.7027094866404355E-2</v>
      </c>
      <c r="J314" s="1"/>
      <c r="K314" s="1"/>
      <c r="L314" s="1"/>
      <c r="M314" s="1"/>
      <c r="N314" s="1"/>
      <c r="O314" s="1">
        <f>AVERAGE(O310:O313)</f>
        <v>5.6734047447541004E-3</v>
      </c>
      <c r="P314" s="1">
        <f>AVERAGE(P310:P313)</f>
        <v>-3.8529995360889122E-3</v>
      </c>
      <c r="Q314" s="1">
        <f>AVERAGE(Q310:Q313)</f>
        <v>-3.7935015697033343E-3</v>
      </c>
    </row>
    <row r="315" spans="1:17" ht="15" thickBot="1" x14ac:dyDescent="0.35"/>
    <row r="316" spans="1:17" ht="15" thickBot="1" x14ac:dyDescent="0.35">
      <c r="A316" s="1" t="s">
        <v>27</v>
      </c>
      <c r="B316" s="3">
        <v>34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 thickBot="1" x14ac:dyDescent="0.35">
      <c r="A317" s="8" t="s">
        <v>7</v>
      </c>
      <c r="B317" s="20" t="s">
        <v>8</v>
      </c>
      <c r="C317" s="22"/>
      <c r="D317" s="1"/>
      <c r="E317" s="20" t="s">
        <v>9</v>
      </c>
      <c r="F317" s="22"/>
      <c r="G317" s="7"/>
      <c r="H317" s="8" t="s">
        <v>10</v>
      </c>
      <c r="I317" s="9" t="s">
        <v>11</v>
      </c>
      <c r="J317" s="1"/>
      <c r="K317" s="10"/>
      <c r="L317" s="23" t="s">
        <v>12</v>
      </c>
      <c r="M317" s="16"/>
      <c r="N317" s="24"/>
      <c r="O317" s="25" t="s">
        <v>13</v>
      </c>
      <c r="P317" s="26"/>
      <c r="Q317" s="27"/>
    </row>
    <row r="318" spans="1:17" ht="15" thickBot="1" x14ac:dyDescent="0.35">
      <c r="A318" s="11" t="s">
        <v>14</v>
      </c>
      <c r="B318" s="11" t="s">
        <v>15</v>
      </c>
      <c r="C318" s="11" t="s">
        <v>16</v>
      </c>
      <c r="D318" s="4"/>
      <c r="E318" s="11" t="s">
        <v>17</v>
      </c>
      <c r="F318" s="11" t="s">
        <v>18</v>
      </c>
      <c r="G318" s="11" t="s">
        <v>19</v>
      </c>
      <c r="H318" s="11" t="s">
        <v>20</v>
      </c>
      <c r="I318" s="12" t="s">
        <v>21</v>
      </c>
      <c r="J318" s="13" t="s">
        <v>22</v>
      </c>
      <c r="K318" s="14" t="s">
        <v>23</v>
      </c>
      <c r="L318" s="13" t="s">
        <v>24</v>
      </c>
      <c r="M318" s="13" t="s">
        <v>25</v>
      </c>
      <c r="N318" s="14" t="s">
        <v>26</v>
      </c>
      <c r="O318" s="13" t="s">
        <v>24</v>
      </c>
      <c r="P318" s="13" t="s">
        <v>25</v>
      </c>
      <c r="Q318" s="13" t="s">
        <v>26</v>
      </c>
    </row>
    <row r="319" spans="1:17" ht="15" thickBot="1" x14ac:dyDescent="0.35">
      <c r="A319" s="1">
        <f>A310-$C$9*O314</f>
        <v>-5.0535445239799186</v>
      </c>
      <c r="B319" s="1">
        <f>B310-$C$9*P314</f>
        <v>3.2927378079013003</v>
      </c>
      <c r="C319" s="1">
        <f>C310-$C$9*Q314</f>
        <v>3.2961884690667</v>
      </c>
      <c r="D319" s="1"/>
      <c r="E319" s="3">
        <v>0</v>
      </c>
      <c r="F319" s="3">
        <v>0</v>
      </c>
      <c r="G319" s="1">
        <f>A319+(B319*E319)+(C319*F319)</f>
        <v>-5.0535445239799186</v>
      </c>
      <c r="H319" s="1">
        <f>1/(1+EXP(-G319))</f>
        <v>6.3461251093185397E-3</v>
      </c>
      <c r="I319" s="10">
        <f>($C$4-H319)^2</f>
        <v>4.0273303903123246E-5</v>
      </c>
      <c r="J319" s="1">
        <f>2*(H319-$C$4)</f>
        <v>1.2692250218637079E-2</v>
      </c>
      <c r="K319" s="10">
        <f xml:space="preserve"> EXP(-G319)/POWER(1+EXP(-G319),2)</f>
        <v>6.3058518054154161E-3</v>
      </c>
      <c r="L319" s="1">
        <v>1</v>
      </c>
      <c r="M319" s="1">
        <f>E319</f>
        <v>0</v>
      </c>
      <c r="N319" s="10">
        <f>F319</f>
        <v>0</v>
      </c>
      <c r="O319" s="1">
        <f>J319*K319*L319</f>
        <v>8.0035448955976835E-5</v>
      </c>
      <c r="P319" s="1">
        <f>J319*K319*M319</f>
        <v>0</v>
      </c>
      <c r="Q319" s="1">
        <f>J319*K319*N319</f>
        <v>0</v>
      </c>
    </row>
    <row r="320" spans="1:17" ht="15" thickBot="1" x14ac:dyDescent="0.35">
      <c r="A320" s="1"/>
      <c r="B320" s="1"/>
      <c r="C320" s="1"/>
      <c r="D320" s="1"/>
      <c r="E320" s="3">
        <v>0</v>
      </c>
      <c r="F320" s="3">
        <v>1</v>
      </c>
      <c r="G320" s="1">
        <f>A319+(B319*E320)+(C319*F320)</f>
        <v>-1.7573560549132186</v>
      </c>
      <c r="H320" s="1">
        <f t="shared" ref="H320:H321" si="241">1/(1+EXP(-G320))</f>
        <v>0.14712178457876438</v>
      </c>
      <c r="I320" s="10">
        <f>($C$5-H320)^2</f>
        <v>2.1644819497640352E-2</v>
      </c>
      <c r="J320" s="1">
        <f>2*(H320-$C$5)</f>
        <v>0.29424356915752875</v>
      </c>
      <c r="K320" s="10">
        <f t="shared" ref="K320:K322" si="242" xml:space="preserve"> EXP(-G320)/POWER(1+EXP(-G320),2)</f>
        <v>0.12547696508112402</v>
      </c>
      <c r="L320" s="1">
        <v>1</v>
      </c>
      <c r="M320" s="1">
        <f t="shared" ref="M320:M322" si="243">E320</f>
        <v>0</v>
      </c>
      <c r="N320" s="10">
        <f t="shared" ref="N320:N322" si="244">F320</f>
        <v>1</v>
      </c>
      <c r="O320" s="1">
        <f t="shared" ref="O320:O322" si="245">J320*K320*L320</f>
        <v>3.6920790052524535E-2</v>
      </c>
      <c r="P320" s="1">
        <f t="shared" ref="P320:P322" si="246">J320*K320*M320</f>
        <v>0</v>
      </c>
      <c r="Q320" s="1">
        <f t="shared" ref="Q320:Q322" si="247">J320*K320*N320</f>
        <v>3.6920790052524535E-2</v>
      </c>
    </row>
    <row r="321" spans="1:17" ht="15" thickBot="1" x14ac:dyDescent="0.35">
      <c r="A321" s="1"/>
      <c r="B321" s="1"/>
      <c r="C321" s="1"/>
      <c r="D321" s="1"/>
      <c r="E321" s="3">
        <v>1</v>
      </c>
      <c r="F321" s="3">
        <v>0</v>
      </c>
      <c r="G321" s="1">
        <f>A319+(B319*E321)+(C319*F321)</f>
        <v>-1.7608067160786183</v>
      </c>
      <c r="H321" s="1">
        <f t="shared" si="241"/>
        <v>0.14668933309754345</v>
      </c>
      <c r="I321" s="10">
        <f>($C$6-H321)^2</f>
        <v>2.1517760444602057E-2</v>
      </c>
      <c r="J321" s="1">
        <f>2*(H321-$C$6)</f>
        <v>0.2933786661950869</v>
      </c>
      <c r="K321" s="10">
        <f t="shared" si="242"/>
        <v>0.1251715726529414</v>
      </c>
      <c r="L321" s="1">
        <v>1</v>
      </c>
      <c r="M321" s="1">
        <f t="shared" si="243"/>
        <v>1</v>
      </c>
      <c r="N321" s="10">
        <f t="shared" si="244"/>
        <v>0</v>
      </c>
      <c r="O321" s="1">
        <f t="shared" si="245"/>
        <v>3.6722669030461362E-2</v>
      </c>
      <c r="P321" s="1">
        <f t="shared" si="246"/>
        <v>3.6722669030461362E-2</v>
      </c>
      <c r="Q321" s="1">
        <f t="shared" si="247"/>
        <v>0</v>
      </c>
    </row>
    <row r="322" spans="1:17" ht="15" thickBot="1" x14ac:dyDescent="0.35">
      <c r="A322" s="1"/>
      <c r="B322" s="1"/>
      <c r="C322" s="1"/>
      <c r="D322" s="1"/>
      <c r="E322" s="3">
        <v>1</v>
      </c>
      <c r="F322" s="3">
        <v>1</v>
      </c>
      <c r="G322" s="1">
        <f>A319+(B319*E322)+(C319*F322)</f>
        <v>1.5353817529880818</v>
      </c>
      <c r="H322" s="1">
        <f>1/(1+EXP(-G322))</f>
        <v>0.82279236480940021</v>
      </c>
      <c r="I322" s="10">
        <f>($C$7-H322)^2</f>
        <v>3.1402545969844702E-2</v>
      </c>
      <c r="J322" s="1">
        <f>2*(H322-$C$7)</f>
        <v>-0.35441527038119958</v>
      </c>
      <c r="K322" s="10">
        <f t="shared" si="242"/>
        <v>0.14580508922075511</v>
      </c>
      <c r="L322" s="1">
        <v>1</v>
      </c>
      <c r="M322" s="1">
        <f t="shared" si="243"/>
        <v>1</v>
      </c>
      <c r="N322" s="10">
        <f t="shared" si="244"/>
        <v>1</v>
      </c>
      <c r="O322" s="1">
        <f t="shared" si="245"/>
        <v>-5.1675550119128846E-2</v>
      </c>
      <c r="P322" s="1">
        <f t="shared" si="246"/>
        <v>-5.1675550119128846E-2</v>
      </c>
      <c r="Q322" s="1">
        <f t="shared" si="247"/>
        <v>-5.1675550119128846E-2</v>
      </c>
    </row>
    <row r="323" spans="1:17" ht="15" thickBot="1" x14ac:dyDescent="0.35">
      <c r="A323" s="1"/>
      <c r="B323" s="1"/>
      <c r="C323" s="1"/>
      <c r="D323" s="1"/>
      <c r="E323" s="1"/>
      <c r="F323" s="1"/>
      <c r="G323" s="1"/>
      <c r="H323" s="1"/>
      <c r="I323" s="10">
        <f>SUM(I319:I322)</f>
        <v>7.4605399215990242E-2</v>
      </c>
      <c r="J323" s="1"/>
      <c r="K323" s="1"/>
      <c r="L323" s="1"/>
      <c r="M323" s="1"/>
      <c r="N323" s="1"/>
      <c r="O323" s="1">
        <f>AVERAGE(O319:O322)</f>
        <v>5.5119861032032584E-3</v>
      </c>
      <c r="P323" s="1">
        <f>AVERAGE(P319:P322)</f>
        <v>-3.7382202721668711E-3</v>
      </c>
      <c r="Q323" s="1">
        <f>AVERAGE(Q319:Q322)</f>
        <v>-3.6886900166510778E-3</v>
      </c>
    </row>
    <row r="324" spans="1:17" ht="15" thickBot="1" x14ac:dyDescent="0.35"/>
    <row r="325" spans="1:17" ht="15" thickBot="1" x14ac:dyDescent="0.35">
      <c r="A325" s="1" t="s">
        <v>27</v>
      </c>
      <c r="B325" s="3">
        <v>35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" thickBot="1" x14ac:dyDescent="0.35">
      <c r="A326" s="8" t="s">
        <v>7</v>
      </c>
      <c r="B326" s="20" t="s">
        <v>8</v>
      </c>
      <c r="C326" s="22"/>
      <c r="D326" s="1"/>
      <c r="E326" s="20" t="s">
        <v>9</v>
      </c>
      <c r="F326" s="22"/>
      <c r="G326" s="7"/>
      <c r="H326" s="8" t="s">
        <v>10</v>
      </c>
      <c r="I326" s="9" t="s">
        <v>11</v>
      </c>
      <c r="J326" s="1"/>
      <c r="K326" s="10"/>
      <c r="L326" s="23" t="s">
        <v>12</v>
      </c>
      <c r="M326" s="16"/>
      <c r="N326" s="24"/>
      <c r="O326" s="25" t="s">
        <v>13</v>
      </c>
      <c r="P326" s="26"/>
      <c r="Q326" s="27"/>
    </row>
    <row r="327" spans="1:17" ht="15" thickBot="1" x14ac:dyDescent="0.35">
      <c r="A327" s="11" t="s">
        <v>14</v>
      </c>
      <c r="B327" s="11" t="s">
        <v>15</v>
      </c>
      <c r="C327" s="11" t="s">
        <v>16</v>
      </c>
      <c r="D327" s="4"/>
      <c r="E327" s="11" t="s">
        <v>17</v>
      </c>
      <c r="F327" s="11" t="s">
        <v>18</v>
      </c>
      <c r="G327" s="11" t="s">
        <v>19</v>
      </c>
      <c r="H327" s="11" t="s">
        <v>20</v>
      </c>
      <c r="I327" s="12" t="s">
        <v>21</v>
      </c>
      <c r="J327" s="13" t="s">
        <v>22</v>
      </c>
      <c r="K327" s="14" t="s">
        <v>23</v>
      </c>
      <c r="L327" s="13" t="s">
        <v>24</v>
      </c>
      <c r="M327" s="13" t="s">
        <v>25</v>
      </c>
      <c r="N327" s="14" t="s">
        <v>26</v>
      </c>
      <c r="O327" s="13" t="s">
        <v>24</v>
      </c>
      <c r="P327" s="13" t="s">
        <v>25</v>
      </c>
      <c r="Q327" s="13" t="s">
        <v>26</v>
      </c>
    </row>
    <row r="328" spans="1:17" ht="15" thickBot="1" x14ac:dyDescent="0.35">
      <c r="A328" s="1">
        <f>A319-$C$9*O323</f>
        <v>-5.1086643850119513</v>
      </c>
      <c r="B328" s="1">
        <f>B319-$C$9*P323</f>
        <v>3.3301200106229691</v>
      </c>
      <c r="C328" s="1">
        <f>C319-$C$9*Q323</f>
        <v>3.3330753692332107</v>
      </c>
      <c r="D328" s="1"/>
      <c r="E328" s="3">
        <v>0</v>
      </c>
      <c r="F328" s="3">
        <v>0</v>
      </c>
      <c r="G328" s="1">
        <f>A328+(B328*E328)+(C328*F328)</f>
        <v>-5.1086643850119513</v>
      </c>
      <c r="H328" s="1">
        <f>1/(1+EXP(-G328))</f>
        <v>6.0078379178962922E-3</v>
      </c>
      <c r="I328" s="10">
        <f>($C$4-H328)^2</f>
        <v>3.6094116447712459E-5</v>
      </c>
      <c r="J328" s="1">
        <f>2*(H328-$C$4)</f>
        <v>1.2015675835792584E-2</v>
      </c>
      <c r="K328" s="10">
        <f xml:space="preserve"> EXP(-G328)/POWER(1+EXP(-G328),2)</f>
        <v>5.9717438014485801E-3</v>
      </c>
      <c r="L328" s="1">
        <v>1</v>
      </c>
      <c r="M328" s="1">
        <f>E328</f>
        <v>0</v>
      </c>
      <c r="N328" s="10">
        <f>F328</f>
        <v>0</v>
      </c>
      <c r="O328" s="1">
        <f>J328*K328*L328</f>
        <v>7.1754537692609856E-5</v>
      </c>
      <c r="P328" s="1">
        <f>J328*K328*M328</f>
        <v>0</v>
      </c>
      <c r="Q328" s="1">
        <f>J328*K328*N328</f>
        <v>0</v>
      </c>
    </row>
    <row r="329" spans="1:17" ht="15" thickBot="1" x14ac:dyDescent="0.35">
      <c r="A329" s="1"/>
      <c r="B329" s="1"/>
      <c r="C329" s="1"/>
      <c r="D329" s="1"/>
      <c r="E329" s="3">
        <v>0</v>
      </c>
      <c r="F329" s="3">
        <v>1</v>
      </c>
      <c r="G329" s="1">
        <f>A328+(B328*E329)+(C328*F329)</f>
        <v>-1.7755890157787406</v>
      </c>
      <c r="H329" s="1">
        <f t="shared" ref="H329:H330" si="248">1/(1+EXP(-G329))</f>
        <v>0.14484865629871138</v>
      </c>
      <c r="I329" s="10">
        <f>($C$5-H329)^2</f>
        <v>2.0981133231542222E-2</v>
      </c>
      <c r="J329" s="1">
        <f>2*(H329-$C$5)</f>
        <v>0.28969731259742276</v>
      </c>
      <c r="K329" s="10">
        <f t="shared" ref="K329:K331" si="249" xml:space="preserve"> EXP(-G329)/POWER(1+EXP(-G329),2)</f>
        <v>0.12386752306716915</v>
      </c>
      <c r="L329" s="1">
        <v>1</v>
      </c>
      <c r="M329" s="1">
        <f t="shared" ref="M329:M331" si="250">E329</f>
        <v>0</v>
      </c>
      <c r="N329" s="10">
        <f t="shared" ref="N329:N331" si="251">F329</f>
        <v>1</v>
      </c>
      <c r="O329" s="1">
        <f t="shared" ref="O329:O331" si="252">J329*K329*L329</f>
        <v>3.5884088550658173E-2</v>
      </c>
      <c r="P329" s="1">
        <f t="shared" ref="P329:P331" si="253">J329*K329*M329</f>
        <v>0</v>
      </c>
      <c r="Q329" s="1">
        <f t="shared" ref="Q329:Q331" si="254">J329*K329*N329</f>
        <v>3.5884088550658173E-2</v>
      </c>
    </row>
    <row r="330" spans="1:17" ht="15" thickBot="1" x14ac:dyDescent="0.35">
      <c r="A330" s="1"/>
      <c r="B330" s="1"/>
      <c r="C330" s="1"/>
      <c r="D330" s="1"/>
      <c r="E330" s="3">
        <v>1</v>
      </c>
      <c r="F330" s="3">
        <v>0</v>
      </c>
      <c r="G330" s="1">
        <f>A328+(B328*E330)+(C328*F330)</f>
        <v>-1.7785443743889822</v>
      </c>
      <c r="H330" s="1">
        <f t="shared" si="248"/>
        <v>0.14448296744092254</v>
      </c>
      <c r="I330" s="10">
        <f>($C$6-H330)^2</f>
        <v>2.0875327880534682E-2</v>
      </c>
      <c r="J330" s="1">
        <f>2*(H330-$C$6)</f>
        <v>0.28896593488184508</v>
      </c>
      <c r="K330" s="10">
        <f t="shared" si="249"/>
        <v>0.12360763956038785</v>
      </c>
      <c r="L330" s="1">
        <v>1</v>
      </c>
      <c r="M330" s="1">
        <f t="shared" si="250"/>
        <v>1</v>
      </c>
      <c r="N330" s="10">
        <f t="shared" si="251"/>
        <v>0</v>
      </c>
      <c r="O330" s="1">
        <f t="shared" si="252"/>
        <v>3.5718397124105614E-2</v>
      </c>
      <c r="P330" s="1">
        <f t="shared" si="253"/>
        <v>3.5718397124105614E-2</v>
      </c>
      <c r="Q330" s="1">
        <f t="shared" si="254"/>
        <v>0</v>
      </c>
    </row>
    <row r="331" spans="1:17" ht="15" thickBot="1" x14ac:dyDescent="0.35">
      <c r="A331" s="1"/>
      <c r="B331" s="1"/>
      <c r="C331" s="1"/>
      <c r="D331" s="1"/>
      <c r="E331" s="3">
        <v>1</v>
      </c>
      <c r="F331" s="3">
        <v>1</v>
      </c>
      <c r="G331" s="1">
        <f>A328+(B328*E331)+(C328*F331)</f>
        <v>1.5545309948442285</v>
      </c>
      <c r="H331" s="1">
        <f>1/(1+EXP(-G331))</f>
        <v>0.82556718513485028</v>
      </c>
      <c r="I331" s="10">
        <f>($C$7-H331)^2</f>
        <v>3.0426806901779596E-2</v>
      </c>
      <c r="J331" s="1">
        <f>2*(H331-$C$7)</f>
        <v>-0.34886562973029944</v>
      </c>
      <c r="K331" s="10">
        <f t="shared" si="249"/>
        <v>0.14400600796337013</v>
      </c>
      <c r="L331" s="1">
        <v>1</v>
      </c>
      <c r="M331" s="1">
        <f t="shared" si="250"/>
        <v>1</v>
      </c>
      <c r="N331" s="10">
        <f t="shared" si="251"/>
        <v>1</v>
      </c>
      <c r="O331" s="1">
        <f t="shared" si="252"/>
        <v>-5.0238746653087633E-2</v>
      </c>
      <c r="P331" s="1">
        <f t="shared" si="253"/>
        <v>-5.0238746653087633E-2</v>
      </c>
      <c r="Q331" s="1">
        <f t="shared" si="254"/>
        <v>-5.0238746653087633E-2</v>
      </c>
    </row>
    <row r="332" spans="1:17" ht="15" thickBot="1" x14ac:dyDescent="0.35">
      <c r="A332" s="1"/>
      <c r="B332" s="1"/>
      <c r="C332" s="1"/>
      <c r="D332" s="1"/>
      <c r="E332" s="1"/>
      <c r="F332" s="1"/>
      <c r="G332" s="1"/>
      <c r="H332" s="1"/>
      <c r="I332" s="10">
        <f>SUM(I328:I331)</f>
        <v>7.231936213030421E-2</v>
      </c>
      <c r="J332" s="1"/>
      <c r="K332" s="1"/>
      <c r="L332" s="1"/>
      <c r="M332" s="1"/>
      <c r="N332" s="1"/>
      <c r="O332" s="1">
        <f>AVERAGE(O328:O331)</f>
        <v>5.3588733898421916E-3</v>
      </c>
      <c r="P332" s="1">
        <f>AVERAGE(P328:P331)</f>
        <v>-3.6300873822455049E-3</v>
      </c>
      <c r="Q332" s="1">
        <f>AVERAGE(Q328:Q331)</f>
        <v>-3.588664525607365E-3</v>
      </c>
    </row>
    <row r="333" spans="1:17" ht="15" thickBot="1" x14ac:dyDescent="0.35"/>
    <row r="334" spans="1:17" ht="15" thickBot="1" x14ac:dyDescent="0.35">
      <c r="A334" s="1" t="s">
        <v>27</v>
      </c>
      <c r="B334" s="3">
        <v>36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" thickBot="1" x14ac:dyDescent="0.35">
      <c r="A335" s="8" t="s">
        <v>7</v>
      </c>
      <c r="B335" s="20" t="s">
        <v>8</v>
      </c>
      <c r="C335" s="22"/>
      <c r="D335" s="1"/>
      <c r="E335" s="20" t="s">
        <v>9</v>
      </c>
      <c r="F335" s="22"/>
      <c r="G335" s="7"/>
      <c r="H335" s="8" t="s">
        <v>10</v>
      </c>
      <c r="I335" s="9" t="s">
        <v>11</v>
      </c>
      <c r="J335" s="1"/>
      <c r="K335" s="10"/>
      <c r="L335" s="23" t="s">
        <v>12</v>
      </c>
      <c r="M335" s="16"/>
      <c r="N335" s="24"/>
      <c r="O335" s="25" t="s">
        <v>13</v>
      </c>
      <c r="P335" s="26"/>
      <c r="Q335" s="27"/>
    </row>
    <row r="336" spans="1:17" ht="15" thickBot="1" x14ac:dyDescent="0.35">
      <c r="A336" s="11" t="s">
        <v>14</v>
      </c>
      <c r="B336" s="11" t="s">
        <v>15</v>
      </c>
      <c r="C336" s="11" t="s">
        <v>16</v>
      </c>
      <c r="D336" s="4"/>
      <c r="E336" s="11" t="s">
        <v>17</v>
      </c>
      <c r="F336" s="11" t="s">
        <v>18</v>
      </c>
      <c r="G336" s="11" t="s">
        <v>19</v>
      </c>
      <c r="H336" s="11" t="s">
        <v>20</v>
      </c>
      <c r="I336" s="12" t="s">
        <v>21</v>
      </c>
      <c r="J336" s="13" t="s">
        <v>22</v>
      </c>
      <c r="K336" s="14" t="s">
        <v>23</v>
      </c>
      <c r="L336" s="13" t="s">
        <v>24</v>
      </c>
      <c r="M336" s="13" t="s">
        <v>25</v>
      </c>
      <c r="N336" s="14" t="s">
        <v>26</v>
      </c>
      <c r="O336" s="13" t="s">
        <v>24</v>
      </c>
      <c r="P336" s="13" t="s">
        <v>25</v>
      </c>
      <c r="Q336" s="13" t="s">
        <v>26</v>
      </c>
    </row>
    <row r="337" spans="1:17" ht="15" thickBot="1" x14ac:dyDescent="0.35">
      <c r="A337" s="1">
        <f>A328-$C$9*O332</f>
        <v>-5.1622531189103729</v>
      </c>
      <c r="B337" s="1">
        <f>B328-$C$9*P332</f>
        <v>3.3664208844454242</v>
      </c>
      <c r="C337" s="1">
        <f>C328-$C$9*Q332</f>
        <v>3.3689620144892842</v>
      </c>
      <c r="D337" s="1"/>
      <c r="E337" s="3">
        <v>0</v>
      </c>
      <c r="F337" s="3">
        <v>0</v>
      </c>
      <c r="G337" s="1">
        <f>A337+(B337*E337)+(C337*F337)</f>
        <v>-5.1622531189103729</v>
      </c>
      <c r="H337" s="1">
        <f>1/(1+EXP(-G337))</f>
        <v>5.6961455659240035E-3</v>
      </c>
      <c r="I337" s="10">
        <f>($C$4-H337)^2</f>
        <v>3.2446074308195685E-5</v>
      </c>
      <c r="J337" s="1">
        <f>2*(H337-$C$4)</f>
        <v>1.1392291131848007E-2</v>
      </c>
      <c r="K337" s="10">
        <f xml:space="preserve"> EXP(-G337)/POWER(1+EXP(-G337),2)</f>
        <v>5.6636994916158074E-3</v>
      </c>
      <c r="L337" s="1">
        <v>1</v>
      </c>
      <c r="M337" s="1">
        <f>E337</f>
        <v>0</v>
      </c>
      <c r="N337" s="10">
        <f>F337</f>
        <v>0</v>
      </c>
      <c r="O337" s="1">
        <f>J337*K337*L337</f>
        <v>6.4522513491786828E-5</v>
      </c>
      <c r="P337" s="1">
        <f>J337*K337*M337</f>
        <v>0</v>
      </c>
      <c r="Q337" s="1">
        <f>J337*K337*N337</f>
        <v>0</v>
      </c>
    </row>
    <row r="338" spans="1:17" ht="15" thickBot="1" x14ac:dyDescent="0.35">
      <c r="A338" s="1"/>
      <c r="B338" s="1"/>
      <c r="C338" s="1"/>
      <c r="D338" s="1"/>
      <c r="E338" s="3">
        <v>0</v>
      </c>
      <c r="F338" s="3">
        <v>1</v>
      </c>
      <c r="G338" s="1">
        <f>A337+(B337*E338)+(C337*F338)</f>
        <v>-1.7932911044210886</v>
      </c>
      <c r="H338" s="1">
        <f t="shared" ref="H338:H339" si="255">1/(1+EXP(-G338))</f>
        <v>0.1426696982618425</v>
      </c>
      <c r="I338" s="10">
        <f>($C$5-H338)^2</f>
        <v>2.0354642802125185E-2</v>
      </c>
      <c r="J338" s="1">
        <f>2*(H338-$C$5)</f>
        <v>0.28533939652368501</v>
      </c>
      <c r="K338" s="10">
        <f t="shared" ref="K338:K340" si="256" xml:space="preserve"> EXP(-G338)/POWER(1+EXP(-G338),2)</f>
        <v>0.12231505545971733</v>
      </c>
      <c r="L338" s="1">
        <v>1</v>
      </c>
      <c r="M338" s="1">
        <f t="shared" ref="M338:M340" si="257">E338</f>
        <v>0</v>
      </c>
      <c r="N338" s="10">
        <f t="shared" ref="N338:N340" si="258">F338</f>
        <v>1</v>
      </c>
      <c r="O338" s="1">
        <f t="shared" ref="O338:O340" si="259">J338*K338*L338</f>
        <v>3.4901304110636806E-2</v>
      </c>
      <c r="P338" s="1">
        <f t="shared" ref="P338:P340" si="260">J338*K338*M338</f>
        <v>0</v>
      </c>
      <c r="Q338" s="1">
        <f t="shared" ref="Q338:Q340" si="261">J338*K338*N338</f>
        <v>3.4901304110636806E-2</v>
      </c>
    </row>
    <row r="339" spans="1:17" ht="15" thickBot="1" x14ac:dyDescent="0.35">
      <c r="A339" s="1"/>
      <c r="B339" s="1"/>
      <c r="C339" s="1"/>
      <c r="D339" s="1"/>
      <c r="E339" s="3">
        <v>1</v>
      </c>
      <c r="F339" s="3">
        <v>0</v>
      </c>
      <c r="G339" s="1">
        <f>A337+(B337*E339)+(C337*F339)</f>
        <v>-1.7958322344649487</v>
      </c>
      <c r="H339" s="1">
        <f t="shared" si="255"/>
        <v>0.14235916194074968</v>
      </c>
      <c r="I339" s="10">
        <f>($C$6-H339)^2</f>
        <v>2.0266130988472592E-2</v>
      </c>
      <c r="J339" s="1">
        <f>2*(H339-$C$6)</f>
        <v>0.28471832388149937</v>
      </c>
      <c r="K339" s="10">
        <f t="shared" si="256"/>
        <v>0.1220930309522771</v>
      </c>
      <c r="L339" s="1">
        <v>1</v>
      </c>
      <c r="M339" s="1">
        <f t="shared" si="257"/>
        <v>1</v>
      </c>
      <c r="N339" s="10">
        <f t="shared" si="258"/>
        <v>0</v>
      </c>
      <c r="O339" s="1">
        <f t="shared" si="259"/>
        <v>3.4762123130344359E-2</v>
      </c>
      <c r="P339" s="1">
        <f t="shared" si="260"/>
        <v>3.4762123130344359E-2</v>
      </c>
      <c r="Q339" s="1">
        <f t="shared" si="261"/>
        <v>0</v>
      </c>
    </row>
    <row r="340" spans="1:17" ht="15" thickBot="1" x14ac:dyDescent="0.35">
      <c r="A340" s="1"/>
      <c r="B340" s="1"/>
      <c r="C340" s="1"/>
      <c r="D340" s="1"/>
      <c r="E340" s="3">
        <v>1</v>
      </c>
      <c r="F340" s="3">
        <v>1</v>
      </c>
      <c r="G340" s="1">
        <f>A337+(B337*E340)+(C337*F340)</f>
        <v>1.5731297800243356</v>
      </c>
      <c r="H340" s="1">
        <f>1/(1+EXP(-G340))</f>
        <v>0.82822932553212303</v>
      </c>
      <c r="I340" s="10">
        <f>($C$7-H340)^2</f>
        <v>2.9505164607149362E-2</v>
      </c>
      <c r="J340" s="1">
        <f>2*(H340-$C$7)</f>
        <v>-0.34354134893575394</v>
      </c>
      <c r="K340" s="10">
        <f t="shared" si="256"/>
        <v>0.1422655098607275</v>
      </c>
      <c r="L340" s="1">
        <v>1</v>
      </c>
      <c r="M340" s="1">
        <f t="shared" si="257"/>
        <v>1</v>
      </c>
      <c r="N340" s="10">
        <f t="shared" si="258"/>
        <v>1</v>
      </c>
      <c r="O340" s="1">
        <f t="shared" si="259"/>
        <v>-4.8874085164587133E-2</v>
      </c>
      <c r="P340" s="1">
        <f t="shared" si="260"/>
        <v>-4.8874085164587133E-2</v>
      </c>
      <c r="Q340" s="1">
        <f t="shared" si="261"/>
        <v>-4.8874085164587133E-2</v>
      </c>
    </row>
    <row r="341" spans="1:17" ht="15" thickBot="1" x14ac:dyDescent="0.35">
      <c r="A341" s="1"/>
      <c r="B341" s="1"/>
      <c r="C341" s="1"/>
      <c r="D341" s="1"/>
      <c r="E341" s="1"/>
      <c r="F341" s="1"/>
      <c r="G341" s="1"/>
      <c r="H341" s="1"/>
      <c r="I341" s="10">
        <f>SUM(I337:I340)</f>
        <v>7.015838447205533E-2</v>
      </c>
      <c r="J341" s="1"/>
      <c r="K341" s="1"/>
      <c r="L341" s="1"/>
      <c r="M341" s="1"/>
      <c r="N341" s="1"/>
      <c r="O341" s="1">
        <f>AVERAGE(O337:O340)</f>
        <v>5.2134661474714551E-3</v>
      </c>
      <c r="P341" s="1">
        <f>AVERAGE(P337:P340)</f>
        <v>-3.5279905085606935E-3</v>
      </c>
      <c r="Q341" s="1">
        <f>AVERAGE(Q337:Q340)</f>
        <v>-3.4931952634875817E-3</v>
      </c>
    </row>
    <row r="342" spans="1:17" ht="15" thickBot="1" x14ac:dyDescent="0.35"/>
    <row r="343" spans="1:17" ht="15" thickBot="1" x14ac:dyDescent="0.35">
      <c r="A343" s="1" t="s">
        <v>27</v>
      </c>
      <c r="B343" s="3">
        <v>37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" thickBot="1" x14ac:dyDescent="0.35">
      <c r="A344" s="8" t="s">
        <v>7</v>
      </c>
      <c r="B344" s="20" t="s">
        <v>8</v>
      </c>
      <c r="C344" s="22"/>
      <c r="D344" s="1"/>
      <c r="E344" s="20" t="s">
        <v>9</v>
      </c>
      <c r="F344" s="22"/>
      <c r="G344" s="7"/>
      <c r="H344" s="8" t="s">
        <v>10</v>
      </c>
      <c r="I344" s="9" t="s">
        <v>11</v>
      </c>
      <c r="J344" s="1"/>
      <c r="K344" s="10"/>
      <c r="L344" s="23" t="s">
        <v>12</v>
      </c>
      <c r="M344" s="16"/>
      <c r="N344" s="24"/>
      <c r="O344" s="25" t="s">
        <v>13</v>
      </c>
      <c r="P344" s="26"/>
      <c r="Q344" s="27"/>
    </row>
    <row r="345" spans="1:17" ht="15" thickBot="1" x14ac:dyDescent="0.35">
      <c r="A345" s="11" t="s">
        <v>14</v>
      </c>
      <c r="B345" s="11" t="s">
        <v>15</v>
      </c>
      <c r="C345" s="11" t="s">
        <v>16</v>
      </c>
      <c r="D345" s="4"/>
      <c r="E345" s="11" t="s">
        <v>17</v>
      </c>
      <c r="F345" s="11" t="s">
        <v>18</v>
      </c>
      <c r="G345" s="11" t="s">
        <v>19</v>
      </c>
      <c r="H345" s="11" t="s">
        <v>20</v>
      </c>
      <c r="I345" s="12" t="s">
        <v>21</v>
      </c>
      <c r="J345" s="13" t="s">
        <v>22</v>
      </c>
      <c r="K345" s="14" t="s">
        <v>23</v>
      </c>
      <c r="L345" s="13" t="s">
        <v>24</v>
      </c>
      <c r="M345" s="13" t="s">
        <v>25</v>
      </c>
      <c r="N345" s="14" t="s">
        <v>26</v>
      </c>
      <c r="O345" s="13" t="s">
        <v>24</v>
      </c>
      <c r="P345" s="13" t="s">
        <v>25</v>
      </c>
      <c r="Q345" s="13" t="s">
        <v>26</v>
      </c>
    </row>
    <row r="346" spans="1:17" ht="15" thickBot="1" x14ac:dyDescent="0.35">
      <c r="A346" s="1">
        <f>A337-$C$9*O341</f>
        <v>-5.2143877803850875</v>
      </c>
      <c r="B346" s="1">
        <f>B337-$C$9*P341</f>
        <v>3.4017007895310312</v>
      </c>
      <c r="C346" s="1">
        <f>C337-$C$9*Q341</f>
        <v>3.4038939671241599</v>
      </c>
      <c r="D346" s="1"/>
      <c r="E346" s="3">
        <v>0</v>
      </c>
      <c r="F346" s="3">
        <v>0</v>
      </c>
      <c r="G346" s="1">
        <f>A346+(B346*E346)+(C346*F346)</f>
        <v>-5.2143877803850875</v>
      </c>
      <c r="H346" s="1">
        <f>1/(1+EXP(-G346))</f>
        <v>5.4083522320262029E-3</v>
      </c>
      <c r="I346" s="10">
        <f>($C$4-H346)^2</f>
        <v>2.925027386566281E-5</v>
      </c>
      <c r="J346" s="1">
        <f>2*(H346-$C$4)</f>
        <v>1.0816704464052406E-2</v>
      </c>
      <c r="K346" s="10">
        <f xml:space="preserve"> EXP(-G346)/POWER(1+EXP(-G346),2)</f>
        <v>5.3791019581605395E-3</v>
      </c>
      <c r="L346" s="1">
        <v>1</v>
      </c>
      <c r="M346" s="1">
        <f>E346</f>
        <v>0</v>
      </c>
      <c r="N346" s="10">
        <f>F346</f>
        <v>0</v>
      </c>
      <c r="O346" s="1">
        <f>J346*K346*L346</f>
        <v>5.8184156163428147E-5</v>
      </c>
      <c r="P346" s="1">
        <f>J346*K346*M346</f>
        <v>0</v>
      </c>
      <c r="Q346" s="1">
        <f>J346*K346*N346</f>
        <v>0</v>
      </c>
    </row>
    <row r="347" spans="1:17" ht="15" thickBot="1" x14ac:dyDescent="0.35">
      <c r="A347" s="1"/>
      <c r="B347" s="1"/>
      <c r="C347" s="1"/>
      <c r="D347" s="1"/>
      <c r="E347" s="3">
        <v>0</v>
      </c>
      <c r="F347" s="3">
        <v>1</v>
      </c>
      <c r="G347" s="1">
        <f>A346+(B346*E347)+(C346*F347)</f>
        <v>-1.8104938132609276</v>
      </c>
      <c r="H347" s="1">
        <f t="shared" ref="H347:H348" si="262">1/(1+EXP(-G347))</f>
        <v>0.14057845452616313</v>
      </c>
      <c r="I347" s="10">
        <f>($C$5-H347)^2</f>
        <v>1.9762301876964514E-2</v>
      </c>
      <c r="J347" s="1">
        <f>2*(H347-$C$5)</f>
        <v>0.28115690905232626</v>
      </c>
      <c r="K347" s="10">
        <f t="shared" ref="K347:K349" si="263" xml:space="preserve"> EXP(-G347)/POWER(1+EXP(-G347),2)</f>
        <v>0.12081615264919862</v>
      </c>
      <c r="L347" s="1">
        <v>1</v>
      </c>
      <c r="M347" s="1">
        <f t="shared" ref="M347:M349" si="264">E347</f>
        <v>0</v>
      </c>
      <c r="N347" s="10">
        <f t="shared" ref="N347:N349" si="265">F347</f>
        <v>1</v>
      </c>
      <c r="O347" s="1">
        <f t="shared" ref="O347:O349" si="266">J347*K347*L347</f>
        <v>3.3968296042442704E-2</v>
      </c>
      <c r="P347" s="1">
        <f t="shared" ref="P347:P349" si="267">J347*K347*M347</f>
        <v>0</v>
      </c>
      <c r="Q347" s="1">
        <f t="shared" ref="Q347:Q349" si="268">J347*K347*N347</f>
        <v>3.3968296042442704E-2</v>
      </c>
    </row>
    <row r="348" spans="1:17" ht="15" thickBot="1" x14ac:dyDescent="0.35">
      <c r="A348" s="1"/>
      <c r="B348" s="1"/>
      <c r="C348" s="1"/>
      <c r="D348" s="1"/>
      <c r="E348" s="3">
        <v>1</v>
      </c>
      <c r="F348" s="3">
        <v>0</v>
      </c>
      <c r="G348" s="1">
        <f>A346+(B346*E348)+(C346*F348)</f>
        <v>-1.8126869908540564</v>
      </c>
      <c r="H348" s="1">
        <f t="shared" si="262"/>
        <v>0.14031369205911898</v>
      </c>
      <c r="I348" s="10">
        <f>($C$6-H348)^2</f>
        <v>1.9687932179261267E-2</v>
      </c>
      <c r="J348" s="1">
        <f>2*(H348-$C$6)</f>
        <v>0.28062738411823795</v>
      </c>
      <c r="K348" s="10">
        <f t="shared" si="263"/>
        <v>0.12062575987985771</v>
      </c>
      <c r="L348" s="1">
        <v>1</v>
      </c>
      <c r="M348" s="1">
        <f t="shared" si="264"/>
        <v>1</v>
      </c>
      <c r="N348" s="10">
        <f t="shared" si="265"/>
        <v>0</v>
      </c>
      <c r="O348" s="1">
        <f t="shared" si="266"/>
        <v>3.3850891452359165E-2</v>
      </c>
      <c r="P348" s="1">
        <f t="shared" si="267"/>
        <v>3.3850891452359165E-2</v>
      </c>
      <c r="Q348" s="1">
        <f t="shared" si="268"/>
        <v>0</v>
      </c>
    </row>
    <row r="349" spans="1:17" ht="15" thickBot="1" x14ac:dyDescent="0.35">
      <c r="A349" s="1"/>
      <c r="B349" s="1"/>
      <c r="C349" s="1"/>
      <c r="D349" s="1"/>
      <c r="E349" s="3">
        <v>1</v>
      </c>
      <c r="F349" s="3">
        <v>1</v>
      </c>
      <c r="G349" s="1">
        <f>A346+(B346*E349)+(C346*F349)</f>
        <v>1.5912069762701035</v>
      </c>
      <c r="H349" s="1">
        <f>1/(1+EXP(-G349))</f>
        <v>0.830785848412397</v>
      </c>
      <c r="I349" s="10">
        <f>($C$7-H349)^2</f>
        <v>2.8633429097512288E-2</v>
      </c>
      <c r="J349" s="1">
        <f>2*(H349-$C$7)</f>
        <v>-0.338428303175206</v>
      </c>
      <c r="K349" s="10">
        <f t="shared" si="263"/>
        <v>0.14058072249009065</v>
      </c>
      <c r="L349" s="1">
        <v>1</v>
      </c>
      <c r="M349" s="1">
        <f t="shared" si="264"/>
        <v>1</v>
      </c>
      <c r="N349" s="10">
        <f t="shared" si="265"/>
        <v>1</v>
      </c>
      <c r="O349" s="1">
        <f t="shared" si="266"/>
        <v>-4.7576495371465903E-2</v>
      </c>
      <c r="P349" s="1">
        <f t="shared" si="267"/>
        <v>-4.7576495371465903E-2</v>
      </c>
      <c r="Q349" s="1">
        <f t="shared" si="268"/>
        <v>-4.7576495371465903E-2</v>
      </c>
    </row>
    <row r="350" spans="1:17" ht="15" thickBot="1" x14ac:dyDescent="0.35">
      <c r="A350" s="1"/>
      <c r="B350" s="1"/>
      <c r="C350" s="1"/>
      <c r="D350" s="1"/>
      <c r="E350" s="1"/>
      <c r="F350" s="1"/>
      <c r="G350" s="1"/>
      <c r="H350" s="1"/>
      <c r="I350" s="10">
        <f>SUM(I346:I349)</f>
        <v>6.8112913427603741E-2</v>
      </c>
      <c r="J350" s="1"/>
      <c r="K350" s="1"/>
      <c r="L350" s="1"/>
      <c r="M350" s="1"/>
      <c r="N350" s="1"/>
      <c r="O350" s="1">
        <f>AVERAGE(O346:O349)</f>
        <v>5.0752190698748496E-3</v>
      </c>
      <c r="P350" s="1">
        <f>AVERAGE(P346:P349)</f>
        <v>-3.4314009797766845E-3</v>
      </c>
      <c r="Q350" s="1">
        <f>AVERAGE(Q346:Q349)</f>
        <v>-3.4020498322557997E-3</v>
      </c>
    </row>
    <row r="351" spans="1:17" ht="15" thickBot="1" x14ac:dyDescent="0.35"/>
    <row r="352" spans="1:17" ht="15" thickBot="1" x14ac:dyDescent="0.35">
      <c r="A352" s="1" t="s">
        <v>27</v>
      </c>
      <c r="B352" s="3">
        <v>38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" thickBot="1" x14ac:dyDescent="0.35">
      <c r="A353" s="8" t="s">
        <v>7</v>
      </c>
      <c r="B353" s="20" t="s">
        <v>8</v>
      </c>
      <c r="C353" s="22"/>
      <c r="D353" s="1"/>
      <c r="E353" s="20" t="s">
        <v>9</v>
      </c>
      <c r="F353" s="22"/>
      <c r="G353" s="7"/>
      <c r="H353" s="8" t="s">
        <v>10</v>
      </c>
      <c r="I353" s="9" t="s">
        <v>11</v>
      </c>
      <c r="J353" s="1"/>
      <c r="K353" s="10"/>
      <c r="L353" s="23" t="s">
        <v>12</v>
      </c>
      <c r="M353" s="16"/>
      <c r="N353" s="24"/>
      <c r="O353" s="25" t="s">
        <v>13</v>
      </c>
      <c r="P353" s="26"/>
      <c r="Q353" s="27"/>
    </row>
    <row r="354" spans="1:17" ht="15" thickBot="1" x14ac:dyDescent="0.35">
      <c r="A354" s="11" t="s">
        <v>14</v>
      </c>
      <c r="B354" s="11" t="s">
        <v>15</v>
      </c>
      <c r="C354" s="11" t="s">
        <v>16</v>
      </c>
      <c r="D354" s="4"/>
      <c r="E354" s="11" t="s">
        <v>17</v>
      </c>
      <c r="F354" s="11" t="s">
        <v>18</v>
      </c>
      <c r="G354" s="11" t="s">
        <v>19</v>
      </c>
      <c r="H354" s="11" t="s">
        <v>20</v>
      </c>
      <c r="I354" s="12" t="s">
        <v>21</v>
      </c>
      <c r="J354" s="13" t="s">
        <v>22</v>
      </c>
      <c r="K354" s="14" t="s">
        <v>23</v>
      </c>
      <c r="L354" s="13" t="s">
        <v>24</v>
      </c>
      <c r="M354" s="13" t="s">
        <v>25</v>
      </c>
      <c r="N354" s="14" t="s">
        <v>26</v>
      </c>
      <c r="O354" s="13" t="s">
        <v>24</v>
      </c>
      <c r="P354" s="13" t="s">
        <v>25</v>
      </c>
      <c r="Q354" s="13" t="s">
        <v>26</v>
      </c>
    </row>
    <row r="355" spans="1:17" ht="15" thickBot="1" x14ac:dyDescent="0.35">
      <c r="A355" s="1">
        <f>A346-$C$9*O350</f>
        <v>-5.265139971083836</v>
      </c>
      <c r="B355" s="1">
        <f>B346-$C$9*P350</f>
        <v>3.4360147993287979</v>
      </c>
      <c r="C355" s="1">
        <f>C346-$C$9*Q350</f>
        <v>3.4379144654467177</v>
      </c>
      <c r="D355" s="1"/>
      <c r="E355" s="3">
        <v>0</v>
      </c>
      <c r="F355" s="3">
        <v>0</v>
      </c>
      <c r="G355" s="1">
        <f>A355+(B355*E355)+(C355*F355)</f>
        <v>-5.265139971083836</v>
      </c>
      <c r="H355" s="1">
        <f>1/(1+EXP(-G355))</f>
        <v>5.142091740597354E-3</v>
      </c>
      <c r="I355" s="10">
        <f>($C$4-H355)^2</f>
        <v>2.6441107468719524E-5</v>
      </c>
      <c r="J355" s="1">
        <f>2*(H355-$C$4)</f>
        <v>1.0284183481194708E-2</v>
      </c>
      <c r="K355" s="10">
        <f xml:space="preserve"> EXP(-G355)/POWER(1+EXP(-G355),2)</f>
        <v>5.115650633128634E-3</v>
      </c>
      <c r="L355" s="1">
        <v>1</v>
      </c>
      <c r="M355" s="1">
        <f>E355</f>
        <v>0</v>
      </c>
      <c r="N355" s="10">
        <f>F355</f>
        <v>0</v>
      </c>
      <c r="O355" s="1">
        <f>J355*K355*L355</f>
        <v>5.2610289736784748E-5</v>
      </c>
      <c r="P355" s="1">
        <f>J355*K355*M355</f>
        <v>0</v>
      </c>
      <c r="Q355" s="1">
        <f>J355*K355*N355</f>
        <v>0</v>
      </c>
    </row>
    <row r="356" spans="1:17" ht="15" thickBot="1" x14ac:dyDescent="0.35">
      <c r="A356" s="1"/>
      <c r="B356" s="1"/>
      <c r="C356" s="1"/>
      <c r="D356" s="1"/>
      <c r="E356" s="3">
        <v>0</v>
      </c>
      <c r="F356" s="3">
        <v>1</v>
      </c>
      <c r="G356" s="1">
        <f>A355+(B355*E356)+(C355*F356)</f>
        <v>-1.8272255056371183</v>
      </c>
      <c r="H356" s="1">
        <f t="shared" ref="H356:H357" si="269">1/(1+EXP(-G356))</f>
        <v>0.13856912626075923</v>
      </c>
      <c r="I356" s="10">
        <f>($C$5-H356)^2</f>
        <v>1.9201402752670235E-2</v>
      </c>
      <c r="J356" s="1">
        <f>2*(H356-$C$5)</f>
        <v>0.27713825252151847</v>
      </c>
      <c r="K356" s="10">
        <f t="shared" ref="K356:K358" si="270" xml:space="preserve"> EXP(-G356)/POWER(1+EXP(-G356),2)</f>
        <v>0.119367723508089</v>
      </c>
      <c r="L356" s="1">
        <v>1</v>
      </c>
      <c r="M356" s="1">
        <f t="shared" ref="M356:M358" si="271">E356</f>
        <v>0</v>
      </c>
      <c r="N356" s="10">
        <f t="shared" ref="N356:N358" si="272">F356</f>
        <v>1</v>
      </c>
      <c r="O356" s="1">
        <f t="shared" ref="O356:O358" si="273">J356*K356*L356</f>
        <v>3.3081362300503563E-2</v>
      </c>
      <c r="P356" s="1">
        <f t="shared" ref="P356:P358" si="274">J356*K356*M356</f>
        <v>0</v>
      </c>
      <c r="Q356" s="1">
        <f t="shared" ref="Q356:Q358" si="275">J356*K356*N356</f>
        <v>3.3081362300503563E-2</v>
      </c>
    </row>
    <row r="357" spans="1:17" ht="15" thickBot="1" x14ac:dyDescent="0.35">
      <c r="A357" s="1"/>
      <c r="B357" s="1"/>
      <c r="C357" s="1"/>
      <c r="D357" s="1"/>
      <c r="E357" s="3">
        <v>1</v>
      </c>
      <c r="F357" s="3">
        <v>0</v>
      </c>
      <c r="G357" s="1">
        <f>A355+(B355*E357)+(C355*F357)</f>
        <v>-1.8291251717550381</v>
      </c>
      <c r="H357" s="1">
        <f t="shared" si="269"/>
        <v>0.13834252309426098</v>
      </c>
      <c r="I357" s="10">
        <f>($C$6-H357)^2</f>
        <v>1.9138653696086132E-2</v>
      </c>
      <c r="J357" s="1">
        <f>2*(H357-$C$6)</f>
        <v>0.27668504618852197</v>
      </c>
      <c r="K357" s="10">
        <f t="shared" si="270"/>
        <v>0.11920386939817487</v>
      </c>
      <c r="L357" s="1">
        <v>1</v>
      </c>
      <c r="M357" s="1">
        <f t="shared" si="271"/>
        <v>1</v>
      </c>
      <c r="N357" s="10">
        <f t="shared" si="272"/>
        <v>0</v>
      </c>
      <c r="O357" s="1">
        <f t="shared" si="273"/>
        <v>3.2981928110284553E-2</v>
      </c>
      <c r="P357" s="1">
        <f t="shared" si="274"/>
        <v>3.2981928110284553E-2</v>
      </c>
      <c r="Q357" s="1">
        <f t="shared" si="275"/>
        <v>0</v>
      </c>
    </row>
    <row r="358" spans="1:17" ht="15" thickBot="1" x14ac:dyDescent="0.35">
      <c r="A358" s="1"/>
      <c r="B358" s="1"/>
      <c r="C358" s="1"/>
      <c r="D358" s="1"/>
      <c r="E358" s="3">
        <v>1</v>
      </c>
      <c r="F358" s="3">
        <v>1</v>
      </c>
      <c r="G358" s="1">
        <f>A355+(B355*E358)+(C355*F358)</f>
        <v>1.6087892936916797</v>
      </c>
      <c r="H358" s="1">
        <f>1/(1+EXP(-G358))</f>
        <v>0.83324322791869143</v>
      </c>
      <c r="I358" s="10">
        <f>($C$7-H358)^2</f>
        <v>2.7807821034977493E-2</v>
      </c>
      <c r="J358" s="1">
        <f>2*(H358-$C$7)</f>
        <v>-0.33351354416261714</v>
      </c>
      <c r="K358" s="10">
        <f t="shared" si="270"/>
        <v>0.13894895104633107</v>
      </c>
      <c r="L358" s="1">
        <v>1</v>
      </c>
      <c r="M358" s="1">
        <f t="shared" si="271"/>
        <v>1</v>
      </c>
      <c r="N358" s="10">
        <f t="shared" si="272"/>
        <v>1</v>
      </c>
      <c r="O358" s="1">
        <f t="shared" si="273"/>
        <v>-4.6341357121139862E-2</v>
      </c>
      <c r="P358" s="1">
        <f t="shared" si="274"/>
        <v>-4.6341357121139862E-2</v>
      </c>
      <c r="Q358" s="1">
        <f t="shared" si="275"/>
        <v>-4.6341357121139862E-2</v>
      </c>
    </row>
    <row r="359" spans="1:17" ht="15" thickBot="1" x14ac:dyDescent="0.35">
      <c r="A359" s="1"/>
      <c r="B359" s="1"/>
      <c r="C359" s="1"/>
      <c r="D359" s="1"/>
      <c r="E359" s="1"/>
      <c r="F359" s="1"/>
      <c r="G359" s="1"/>
      <c r="H359" s="1"/>
      <c r="I359" s="10">
        <f>SUM(I355:I358)</f>
        <v>6.6174318591202583E-2</v>
      </c>
      <c r="J359" s="1"/>
      <c r="K359" s="1"/>
      <c r="L359" s="1"/>
      <c r="M359" s="1"/>
      <c r="N359" s="1"/>
      <c r="O359" s="1">
        <f>AVERAGE(O355:O358)</f>
        <v>4.9436358948462579E-3</v>
      </c>
      <c r="P359" s="1">
        <f>AVERAGE(P355:P358)</f>
        <v>-3.3398572527138272E-3</v>
      </c>
      <c r="Q359" s="1">
        <f>AVERAGE(Q355:Q358)</f>
        <v>-3.3149987051590748E-3</v>
      </c>
    </row>
    <row r="360" spans="1:17" ht="15" thickBot="1" x14ac:dyDescent="0.35"/>
    <row r="361" spans="1:17" ht="15" thickBot="1" x14ac:dyDescent="0.35">
      <c r="A361" s="1" t="s">
        <v>27</v>
      </c>
      <c r="B361" s="3">
        <v>39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" thickBot="1" x14ac:dyDescent="0.35">
      <c r="A362" s="8" t="s">
        <v>7</v>
      </c>
      <c r="B362" s="20" t="s">
        <v>8</v>
      </c>
      <c r="C362" s="22"/>
      <c r="D362" s="1"/>
      <c r="E362" s="20" t="s">
        <v>9</v>
      </c>
      <c r="F362" s="22"/>
      <c r="G362" s="7"/>
      <c r="H362" s="8" t="s">
        <v>10</v>
      </c>
      <c r="I362" s="9" t="s">
        <v>11</v>
      </c>
      <c r="J362" s="1"/>
      <c r="K362" s="10"/>
      <c r="L362" s="23" t="s">
        <v>12</v>
      </c>
      <c r="M362" s="16"/>
      <c r="N362" s="24"/>
      <c r="O362" s="25" t="s">
        <v>13</v>
      </c>
      <c r="P362" s="26"/>
      <c r="Q362" s="27"/>
    </row>
    <row r="363" spans="1:17" ht="15" thickBot="1" x14ac:dyDescent="0.35">
      <c r="A363" s="11" t="s">
        <v>14</v>
      </c>
      <c r="B363" s="11" t="s">
        <v>15</v>
      </c>
      <c r="C363" s="11" t="s">
        <v>16</v>
      </c>
      <c r="D363" s="4"/>
      <c r="E363" s="11" t="s">
        <v>17</v>
      </c>
      <c r="F363" s="11" t="s">
        <v>18</v>
      </c>
      <c r="G363" s="11" t="s">
        <v>19</v>
      </c>
      <c r="H363" s="11" t="s">
        <v>20</v>
      </c>
      <c r="I363" s="12" t="s">
        <v>21</v>
      </c>
      <c r="J363" s="13" t="s">
        <v>22</v>
      </c>
      <c r="K363" s="14" t="s">
        <v>23</v>
      </c>
      <c r="L363" s="13" t="s">
        <v>24</v>
      </c>
      <c r="M363" s="13" t="s">
        <v>25</v>
      </c>
      <c r="N363" s="14" t="s">
        <v>26</v>
      </c>
      <c r="O363" s="13" t="s">
        <v>24</v>
      </c>
      <c r="P363" s="13" t="s">
        <v>25</v>
      </c>
      <c r="Q363" s="13" t="s">
        <v>26</v>
      </c>
    </row>
    <row r="364" spans="1:17" ht="15" thickBot="1" x14ac:dyDescent="0.35">
      <c r="A364" s="1">
        <f>A355-$C$9*O359</f>
        <v>-5.314576330032299</v>
      </c>
      <c r="B364" s="1">
        <f>B355-$C$9*P359</f>
        <v>3.4694133718559361</v>
      </c>
      <c r="C364" s="1">
        <f>C355-$C$9*Q359</f>
        <v>3.4710644524983083</v>
      </c>
      <c r="D364" s="1"/>
      <c r="E364" s="3">
        <v>0</v>
      </c>
      <c r="F364" s="3">
        <v>0</v>
      </c>
      <c r="G364" s="1">
        <f>A364+(B364*E364)+(C364*F364)</f>
        <v>-5.314576330032299</v>
      </c>
      <c r="H364" s="1">
        <f>1/(1+EXP(-G364))</f>
        <v>4.895280839070492E-3</v>
      </c>
      <c r="I364" s="10">
        <f>($C$4-H364)^2</f>
        <v>2.3963774493370699E-5</v>
      </c>
      <c r="J364" s="1">
        <f>2*(H364-$C$4)</f>
        <v>9.790561678140984E-3</v>
      </c>
      <c r="K364" s="10">
        <f xml:space="preserve"> EXP(-G364)/POWER(1+EXP(-G364),2)</f>
        <v>4.8713170645771214E-3</v>
      </c>
      <c r="L364" s="1">
        <v>1</v>
      </c>
      <c r="M364" s="1">
        <f>E364</f>
        <v>0</v>
      </c>
      <c r="N364" s="10">
        <f>F364</f>
        <v>0</v>
      </c>
      <c r="O364" s="1">
        <f>J364*K364*L364</f>
        <v>4.7692930174522994E-5</v>
      </c>
      <c r="P364" s="1">
        <f>J364*K364*M364</f>
        <v>0</v>
      </c>
      <c r="Q364" s="1">
        <f>J364*K364*N364</f>
        <v>0</v>
      </c>
    </row>
    <row r="365" spans="1:17" ht="15" thickBot="1" x14ac:dyDescent="0.35">
      <c r="A365" s="1"/>
      <c r="B365" s="1"/>
      <c r="C365" s="1"/>
      <c r="D365" s="1"/>
      <c r="E365" s="3">
        <v>0</v>
      </c>
      <c r="F365" s="3">
        <v>1</v>
      </c>
      <c r="G365" s="1">
        <f>A364+(B364*E365)+(C364*F365)</f>
        <v>-1.8435118775339907</v>
      </c>
      <c r="H365" s="1">
        <f t="shared" ref="H365:H366" si="276">1/(1+EXP(-G365))</f>
        <v>0.13663647817704061</v>
      </c>
      <c r="I365" s="10">
        <f>($C$5-H365)^2</f>
        <v>1.8669527168624894E-2</v>
      </c>
      <c r="J365" s="1">
        <f>2*(H365-$C$5)</f>
        <v>0.27327295635408122</v>
      </c>
      <c r="K365" s="10">
        <f t="shared" ref="K365:K367" si="277" xml:space="preserve"> EXP(-G365)/POWER(1+EXP(-G365),2)</f>
        <v>0.11796695100841571</v>
      </c>
      <c r="L365" s="1">
        <v>1</v>
      </c>
      <c r="M365" s="1">
        <f t="shared" ref="M365:M367" si="278">E365</f>
        <v>0</v>
      </c>
      <c r="N365" s="10">
        <f t="shared" ref="N365:N367" si="279">F365</f>
        <v>1</v>
      </c>
      <c r="O365" s="1">
        <f t="shared" ref="O365:O367" si="280">J365*K365*L365</f>
        <v>3.2237177454146823E-2</v>
      </c>
      <c r="P365" s="1">
        <f t="shared" ref="P365:P367" si="281">J365*K365*M365</f>
        <v>0</v>
      </c>
      <c r="Q365" s="1">
        <f t="shared" ref="Q365:Q367" si="282">J365*K365*N365</f>
        <v>3.2237177454146823E-2</v>
      </c>
    </row>
    <row r="366" spans="1:17" ht="15" thickBot="1" x14ac:dyDescent="0.35">
      <c r="A366" s="1"/>
      <c r="B366" s="1"/>
      <c r="C366" s="1"/>
      <c r="D366" s="1"/>
      <c r="E366" s="3">
        <v>1</v>
      </c>
      <c r="F366" s="3">
        <v>0</v>
      </c>
      <c r="G366" s="1">
        <f>A364+(B364*E366)+(C364*F366)</f>
        <v>-1.8451629581763629</v>
      </c>
      <c r="H366" s="1">
        <f t="shared" si="276"/>
        <v>0.13644182205448774</v>
      </c>
      <c r="I366" s="10">
        <f>($C$6-H366)^2</f>
        <v>1.8616370805548496E-2</v>
      </c>
      <c r="J366" s="1">
        <f>2*(H366-$C$6)</f>
        <v>0.27288364410897548</v>
      </c>
      <c r="K366" s="10">
        <f t="shared" si="277"/>
        <v>0.11782545124893926</v>
      </c>
      <c r="L366" s="1">
        <v>1</v>
      </c>
      <c r="M366" s="1">
        <f t="shared" si="278"/>
        <v>1</v>
      </c>
      <c r="N366" s="10">
        <f t="shared" si="279"/>
        <v>0</v>
      </c>
      <c r="O366" s="1">
        <f t="shared" si="280"/>
        <v>3.215263850559498E-2</v>
      </c>
      <c r="P366" s="1">
        <f t="shared" si="281"/>
        <v>3.215263850559498E-2</v>
      </c>
      <c r="Q366" s="1">
        <f t="shared" si="282"/>
        <v>0</v>
      </c>
    </row>
    <row r="367" spans="1:17" ht="15" thickBot="1" x14ac:dyDescent="0.35">
      <c r="A367" s="1"/>
      <c r="B367" s="1"/>
      <c r="C367" s="1"/>
      <c r="D367" s="1"/>
      <c r="E367" s="3">
        <v>1</v>
      </c>
      <c r="F367" s="3">
        <v>1</v>
      </c>
      <c r="G367" s="1">
        <f>A364+(B364*E367)+(C364*F367)</f>
        <v>1.6259014943219454</v>
      </c>
      <c r="H367" s="1">
        <f>1/(1+EXP(-G367))</f>
        <v>0.83560741074357769</v>
      </c>
      <c r="I367" s="10">
        <f>($C$7-H367)^2</f>
        <v>2.7024923402430776E-2</v>
      </c>
      <c r="J367" s="1">
        <f>2*(H367-$C$7)</f>
        <v>-0.32878517851284461</v>
      </c>
      <c r="K367" s="10">
        <f t="shared" si="277"/>
        <v>0.13736766585399157</v>
      </c>
      <c r="L367" s="1">
        <v>1</v>
      </c>
      <c r="M367" s="1">
        <f t="shared" si="278"/>
        <v>1</v>
      </c>
      <c r="N367" s="10">
        <f t="shared" si="279"/>
        <v>1</v>
      </c>
      <c r="O367" s="1">
        <f t="shared" si="280"/>
        <v>-4.5164452539697406E-2</v>
      </c>
      <c r="P367" s="1">
        <f t="shared" si="281"/>
        <v>-4.5164452539697406E-2</v>
      </c>
      <c r="Q367" s="1">
        <f t="shared" si="282"/>
        <v>-4.5164452539697406E-2</v>
      </c>
    </row>
    <row r="368" spans="1:17" ht="15" thickBot="1" x14ac:dyDescent="0.35">
      <c r="A368" s="1"/>
      <c r="B368" s="1"/>
      <c r="C368" s="1"/>
      <c r="D368" s="1"/>
      <c r="E368" s="1"/>
      <c r="F368" s="1"/>
      <c r="G368" s="1"/>
      <c r="H368" s="1"/>
      <c r="I368" s="10">
        <f>SUM(I364:I367)</f>
        <v>6.4334785151097529E-2</v>
      </c>
      <c r="J368" s="1"/>
      <c r="K368" s="1"/>
      <c r="L368" s="1"/>
      <c r="M368" s="1"/>
      <c r="N368" s="1"/>
      <c r="O368" s="1">
        <f>AVERAGE(O364:O367)</f>
        <v>4.81826408755473E-3</v>
      </c>
      <c r="P368" s="1">
        <f>AVERAGE(P364:P367)</f>
        <v>-3.2529535085256064E-3</v>
      </c>
      <c r="Q368" s="1">
        <f>AVERAGE(Q364:Q367)</f>
        <v>-3.2318187713876456E-3</v>
      </c>
    </row>
    <row r="369" spans="1:17" ht="15" thickBot="1" x14ac:dyDescent="0.35"/>
    <row r="370" spans="1:17" ht="15" thickBot="1" x14ac:dyDescent="0.35">
      <c r="A370" s="1" t="s">
        <v>27</v>
      </c>
      <c r="B370" s="3">
        <v>40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" thickBot="1" x14ac:dyDescent="0.35">
      <c r="A371" s="8" t="s">
        <v>7</v>
      </c>
      <c r="B371" s="20" t="s">
        <v>8</v>
      </c>
      <c r="C371" s="22"/>
      <c r="D371" s="1"/>
      <c r="E371" s="20" t="s">
        <v>9</v>
      </c>
      <c r="F371" s="22"/>
      <c r="G371" s="7"/>
      <c r="H371" s="8" t="s">
        <v>10</v>
      </c>
      <c r="I371" s="9" t="s">
        <v>11</v>
      </c>
      <c r="J371" s="1"/>
      <c r="K371" s="10"/>
      <c r="L371" s="23" t="s">
        <v>12</v>
      </c>
      <c r="M371" s="16"/>
      <c r="N371" s="24"/>
      <c r="O371" s="25" t="s">
        <v>13</v>
      </c>
      <c r="P371" s="26"/>
      <c r="Q371" s="27"/>
    </row>
    <row r="372" spans="1:17" ht="15" thickBot="1" x14ac:dyDescent="0.35">
      <c r="A372" s="11" t="s">
        <v>14</v>
      </c>
      <c r="B372" s="11" t="s">
        <v>15</v>
      </c>
      <c r="C372" s="11" t="s">
        <v>16</v>
      </c>
      <c r="D372" s="4"/>
      <c r="E372" s="11" t="s">
        <v>17</v>
      </c>
      <c r="F372" s="11" t="s">
        <v>18</v>
      </c>
      <c r="G372" s="11" t="s">
        <v>19</v>
      </c>
      <c r="H372" s="11" t="s">
        <v>20</v>
      </c>
      <c r="I372" s="12" t="s">
        <v>21</v>
      </c>
      <c r="J372" s="13" t="s">
        <v>22</v>
      </c>
      <c r="K372" s="14" t="s">
        <v>23</v>
      </c>
      <c r="L372" s="13" t="s">
        <v>24</v>
      </c>
      <c r="M372" s="13" t="s">
        <v>25</v>
      </c>
      <c r="N372" s="14" t="s">
        <v>26</v>
      </c>
      <c r="O372" s="13" t="s">
        <v>24</v>
      </c>
      <c r="P372" s="13" t="s">
        <v>25</v>
      </c>
      <c r="Q372" s="13" t="s">
        <v>26</v>
      </c>
    </row>
    <row r="373" spans="1:17" ht="15" thickBot="1" x14ac:dyDescent="0.35">
      <c r="A373" s="1">
        <f>A364-$C$9*O368</f>
        <v>-5.362758970907846</v>
      </c>
      <c r="B373" s="1">
        <f>B364-$C$9*P368</f>
        <v>3.501942906941192</v>
      </c>
      <c r="C373" s="1">
        <f>C364-$C$9*Q368</f>
        <v>3.5033826402121848</v>
      </c>
      <c r="D373" s="1"/>
      <c r="E373" s="3">
        <v>0</v>
      </c>
      <c r="F373" s="3">
        <v>0</v>
      </c>
      <c r="G373" s="1">
        <f>A373+(B373*E373)+(C373*F373)</f>
        <v>-5.362758970907846</v>
      </c>
      <c r="H373" s="1">
        <f>1/(1+EXP(-G373))</f>
        <v>4.6660799497558149E-3</v>
      </c>
      <c r="I373" s="10">
        <f>($C$4-H373)^2</f>
        <v>2.1772302097513228E-5</v>
      </c>
      <c r="J373" s="1">
        <f>2*(H373-$C$4)</f>
        <v>9.3321598995116297E-3</v>
      </c>
      <c r="K373" s="10">
        <f xml:space="preserve"> EXP(-G373)/POWER(1+EXP(-G373),2)</f>
        <v>4.6443076476583023E-3</v>
      </c>
      <c r="L373" s="1">
        <v>1</v>
      </c>
      <c r="M373" s="1">
        <f>E373</f>
        <v>0</v>
      </c>
      <c r="N373" s="10">
        <f>F373</f>
        <v>0</v>
      </c>
      <c r="O373" s="1">
        <f>J373*K373*L373</f>
        <v>4.3341421590471996E-5</v>
      </c>
      <c r="P373" s="1">
        <f>J373*K373*M373</f>
        <v>0</v>
      </c>
      <c r="Q373" s="1">
        <f>J373*K373*N373</f>
        <v>0</v>
      </c>
    </row>
    <row r="374" spans="1:17" ht="15" thickBot="1" x14ac:dyDescent="0.35">
      <c r="A374" s="1"/>
      <c r="B374" s="1"/>
      <c r="C374" s="1"/>
      <c r="D374" s="1"/>
      <c r="E374" s="3">
        <v>0</v>
      </c>
      <c r="F374" s="3">
        <v>1</v>
      </c>
      <c r="G374" s="1">
        <f>A373+(B373*E374)+(C373*F374)</f>
        <v>-1.8593763306956612</v>
      </c>
      <c r="H374" s="1">
        <f t="shared" ref="H374:H375" si="283">1/(1+EXP(-G374))</f>
        <v>0.13477576224878876</v>
      </c>
      <c r="I374" s="10">
        <f>($C$5-H374)^2</f>
        <v>1.8164506089742034E-2</v>
      </c>
      <c r="J374" s="1">
        <f>2*(H374-$C$5)</f>
        <v>0.26955152449757752</v>
      </c>
      <c r="K374" s="10">
        <f t="shared" ref="K374:K376" si="284" xml:space="preserve"> EXP(-G374)/POWER(1+EXP(-G374),2)</f>
        <v>0.11661125615904672</v>
      </c>
      <c r="L374" s="1">
        <v>1</v>
      </c>
      <c r="M374" s="1">
        <f t="shared" ref="M374:M376" si="285">E374</f>
        <v>0</v>
      </c>
      <c r="N374" s="10">
        <f t="shared" ref="N374:N376" si="286">F374</f>
        <v>1</v>
      </c>
      <c r="O374" s="1">
        <f t="shared" ref="O374:O376" si="287">J374*K374*L374</f>
        <v>3.1432741871248567E-2</v>
      </c>
      <c r="P374" s="1">
        <f t="shared" ref="P374:P376" si="288">J374*K374*M374</f>
        <v>0</v>
      </c>
      <c r="Q374" s="1">
        <f t="shared" ref="Q374:Q376" si="289">J374*K374*N374</f>
        <v>3.1432741871248567E-2</v>
      </c>
    </row>
    <row r="375" spans="1:17" ht="15" thickBot="1" x14ac:dyDescent="0.35">
      <c r="A375" s="1"/>
      <c r="B375" s="1"/>
      <c r="C375" s="1"/>
      <c r="D375" s="1"/>
      <c r="E375" s="3">
        <v>1</v>
      </c>
      <c r="F375" s="3">
        <v>0</v>
      </c>
      <c r="G375" s="1">
        <f>A373+(B373*E375)+(C373*F375)</f>
        <v>-1.860816063966654</v>
      </c>
      <c r="H375" s="1">
        <f t="shared" si="283"/>
        <v>0.13460796140646911</v>
      </c>
      <c r="I375" s="10">
        <f>($C$6-H375)^2</f>
        <v>1.8119303274005478E-2</v>
      </c>
      <c r="J375" s="1">
        <f>2*(H375-$C$6)</f>
        <v>0.26921592281293821</v>
      </c>
      <c r="K375" s="10">
        <f t="shared" si="284"/>
        <v>0.11648865813246362</v>
      </c>
      <c r="L375" s="1">
        <v>1</v>
      </c>
      <c r="M375" s="1">
        <f t="shared" si="285"/>
        <v>1</v>
      </c>
      <c r="N375" s="10">
        <f t="shared" si="286"/>
        <v>0</v>
      </c>
      <c r="O375" s="1">
        <f t="shared" si="287"/>
        <v>3.1360601596372072E-2</v>
      </c>
      <c r="P375" s="1">
        <f t="shared" si="288"/>
        <v>3.1360601596372072E-2</v>
      </c>
      <c r="Q375" s="1">
        <f t="shared" si="289"/>
        <v>0</v>
      </c>
    </row>
    <row r="376" spans="1:17" ht="15" thickBot="1" x14ac:dyDescent="0.35">
      <c r="A376" s="1"/>
      <c r="B376" s="1"/>
      <c r="C376" s="1"/>
      <c r="D376" s="1"/>
      <c r="E376" s="3">
        <v>1</v>
      </c>
      <c r="F376" s="3">
        <v>1</v>
      </c>
      <c r="G376" s="1">
        <f>A373+(B373*E376)+(C373*F376)</f>
        <v>1.6425665762455308</v>
      </c>
      <c r="H376" s="1">
        <f>1/(1+EXP(-G376))</f>
        <v>0.83788386940062709</v>
      </c>
      <c r="I376" s="10">
        <f>($C$7-H376)^2</f>
        <v>2.6281639800512933E-2</v>
      </c>
      <c r="J376" s="1">
        <f>2*(H376-$C$7)</f>
        <v>-0.32423226119874582</v>
      </c>
      <c r="K376" s="10">
        <f t="shared" si="284"/>
        <v>0.13583449079886001</v>
      </c>
      <c r="L376" s="1">
        <v>1</v>
      </c>
      <c r="M376" s="1">
        <f t="shared" si="285"/>
        <v>1</v>
      </c>
      <c r="N376" s="10">
        <f t="shared" si="286"/>
        <v>1</v>
      </c>
      <c r="O376" s="1">
        <f t="shared" si="287"/>
        <v>-4.4041924100494616E-2</v>
      </c>
      <c r="P376" s="1">
        <f t="shared" si="288"/>
        <v>-4.4041924100494616E-2</v>
      </c>
      <c r="Q376" s="1">
        <f t="shared" si="289"/>
        <v>-4.4041924100494616E-2</v>
      </c>
    </row>
    <row r="377" spans="1:17" ht="15" thickBot="1" x14ac:dyDescent="0.35">
      <c r="A377" s="1"/>
      <c r="B377" s="1"/>
      <c r="C377" s="1"/>
      <c r="D377" s="1"/>
      <c r="E377" s="1"/>
      <c r="F377" s="1"/>
      <c r="G377" s="1"/>
      <c r="H377" s="1"/>
      <c r="I377" s="10">
        <f>SUM(I373:I376)</f>
        <v>6.2587221466357951E-2</v>
      </c>
      <c r="J377" s="1"/>
      <c r="K377" s="1"/>
      <c r="L377" s="1"/>
      <c r="M377" s="1"/>
      <c r="N377" s="1"/>
      <c r="O377" s="1">
        <f>AVERAGE(O373:O376)</f>
        <v>4.6986901971791239E-3</v>
      </c>
      <c r="P377" s="1">
        <f>AVERAGE(P373:P376)</f>
        <v>-3.170330626030636E-3</v>
      </c>
      <c r="Q377" s="1">
        <f>AVERAGE(Q373:Q376)</f>
        <v>-3.1522955573115123E-3</v>
      </c>
    </row>
    <row r="378" spans="1:17" ht="15" thickBot="1" x14ac:dyDescent="0.35"/>
    <row r="379" spans="1:17" ht="15" thickBot="1" x14ac:dyDescent="0.35">
      <c r="A379" s="1" t="s">
        <v>27</v>
      </c>
      <c r="B379" s="3">
        <v>41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" thickBot="1" x14ac:dyDescent="0.35">
      <c r="A380" s="8" t="s">
        <v>7</v>
      </c>
      <c r="B380" s="20" t="s">
        <v>8</v>
      </c>
      <c r="C380" s="22"/>
      <c r="D380" s="1"/>
      <c r="E380" s="20" t="s">
        <v>9</v>
      </c>
      <c r="F380" s="22"/>
      <c r="G380" s="7"/>
      <c r="H380" s="8" t="s">
        <v>10</v>
      </c>
      <c r="I380" s="9" t="s">
        <v>11</v>
      </c>
      <c r="J380" s="1"/>
      <c r="K380" s="10"/>
      <c r="L380" s="23" t="s">
        <v>12</v>
      </c>
      <c r="M380" s="16"/>
      <c r="N380" s="24"/>
      <c r="O380" s="25" t="s">
        <v>13</v>
      </c>
      <c r="P380" s="26"/>
      <c r="Q380" s="27"/>
    </row>
    <row r="381" spans="1:17" ht="15" thickBot="1" x14ac:dyDescent="0.35">
      <c r="A381" s="11" t="s">
        <v>14</v>
      </c>
      <c r="B381" s="11" t="s">
        <v>15</v>
      </c>
      <c r="C381" s="11" t="s">
        <v>16</v>
      </c>
      <c r="D381" s="4"/>
      <c r="E381" s="11" t="s">
        <v>17</v>
      </c>
      <c r="F381" s="11" t="s">
        <v>18</v>
      </c>
      <c r="G381" s="11" t="s">
        <v>19</v>
      </c>
      <c r="H381" s="11" t="s">
        <v>20</v>
      </c>
      <c r="I381" s="12" t="s">
        <v>21</v>
      </c>
      <c r="J381" s="13" t="s">
        <v>22</v>
      </c>
      <c r="K381" s="14" t="s">
        <v>23</v>
      </c>
      <c r="L381" s="13" t="s">
        <v>24</v>
      </c>
      <c r="M381" s="13" t="s">
        <v>25</v>
      </c>
      <c r="N381" s="14" t="s">
        <v>26</v>
      </c>
      <c r="O381" s="13" t="s">
        <v>24</v>
      </c>
      <c r="P381" s="13" t="s">
        <v>25</v>
      </c>
      <c r="Q381" s="13" t="s">
        <v>26</v>
      </c>
    </row>
    <row r="382" spans="1:17" ht="15" thickBot="1" x14ac:dyDescent="0.35">
      <c r="A382" s="1">
        <f>A373-$C$9*O377</f>
        <v>-5.409745872879637</v>
      </c>
      <c r="B382" s="1">
        <f>B373-$C$9*P377</f>
        <v>3.5336462132014983</v>
      </c>
      <c r="C382" s="1">
        <f>C373-$C$9*Q377</f>
        <v>3.5349055957852999</v>
      </c>
      <c r="D382" s="1"/>
      <c r="E382" s="3">
        <v>0</v>
      </c>
      <c r="F382" s="3">
        <v>0</v>
      </c>
      <c r="G382" s="1">
        <f>A382+(B382*E382)+(C382*F382)</f>
        <v>-5.409745872879637</v>
      </c>
      <c r="H382" s="1">
        <f>1/(1+EXP(-G382))</f>
        <v>4.4528600719306458E-3</v>
      </c>
      <c r="I382" s="10">
        <f>($C$4-H382)^2</f>
        <v>1.9827962820194197E-5</v>
      </c>
      <c r="J382" s="1">
        <f>2*(H382-$C$4)</f>
        <v>8.9057201438612916E-3</v>
      </c>
      <c r="K382" s="10">
        <f xml:space="preserve"> EXP(-G382)/POWER(1+EXP(-G382),2)</f>
        <v>4.4330321091104515E-3</v>
      </c>
      <c r="L382" s="1">
        <v>1</v>
      </c>
      <c r="M382" s="1">
        <f>E382</f>
        <v>0</v>
      </c>
      <c r="N382" s="10">
        <f>F382</f>
        <v>0</v>
      </c>
      <c r="O382" s="1">
        <f>J382*K382*L382</f>
        <v>3.9479343352488855E-5</v>
      </c>
      <c r="P382" s="1">
        <f>J382*K382*M382</f>
        <v>0</v>
      </c>
      <c r="Q382" s="1">
        <f>J382*K382*N382</f>
        <v>0</v>
      </c>
    </row>
    <row r="383" spans="1:17" ht="15" thickBot="1" x14ac:dyDescent="0.35">
      <c r="A383" s="1"/>
      <c r="B383" s="1"/>
      <c r="C383" s="1"/>
      <c r="D383" s="1"/>
      <c r="E383" s="3">
        <v>0</v>
      </c>
      <c r="F383" s="3">
        <v>1</v>
      </c>
      <c r="G383" s="1">
        <f>A382+(B382*E383)+(C382*F383)</f>
        <v>-1.8748402770943371</v>
      </c>
      <c r="H383" s="1">
        <f t="shared" ref="H383:H384" si="290">1/(1+EXP(-G383))</f>
        <v>0.13298265489274608</v>
      </c>
      <c r="I383" s="10">
        <f>($C$5-H383)^2</f>
        <v>1.7684386502323204E-2</v>
      </c>
      <c r="J383" s="1">
        <f>2*(H383-$C$5)</f>
        <v>0.26596530978549215</v>
      </c>
      <c r="K383" s="10">
        <f t="shared" ref="K383:K385" si="291" xml:space="preserve"> EXP(-G383)/POWER(1+EXP(-G383),2)</f>
        <v>0.11529826839042288</v>
      </c>
      <c r="L383" s="1">
        <v>1</v>
      </c>
      <c r="M383" s="1">
        <f t="shared" ref="M383:M385" si="292">E383</f>
        <v>0</v>
      </c>
      <c r="N383" s="10">
        <f t="shared" ref="N383:N385" si="293">F383</f>
        <v>1</v>
      </c>
      <c r="O383" s="1">
        <f t="shared" ref="O383:O385" si="294">J383*K383*L383</f>
        <v>3.066533967018964E-2</v>
      </c>
      <c r="P383" s="1">
        <f t="shared" ref="P383:P385" si="295">J383*K383*M383</f>
        <v>0</v>
      </c>
      <c r="Q383" s="1">
        <f t="shared" ref="Q383:Q385" si="296">J383*K383*N383</f>
        <v>3.066533967018964E-2</v>
      </c>
    </row>
    <row r="384" spans="1:17" ht="15" thickBot="1" x14ac:dyDescent="0.35">
      <c r="A384" s="1"/>
      <c r="B384" s="1"/>
      <c r="C384" s="1"/>
      <c r="D384" s="1"/>
      <c r="E384" s="3">
        <v>1</v>
      </c>
      <c r="F384" s="3">
        <v>0</v>
      </c>
      <c r="G384" s="1">
        <f>A382+(B382*E384)+(C382*F384)</f>
        <v>-1.8760996596781387</v>
      </c>
      <c r="H384" s="1">
        <f t="shared" si="290"/>
        <v>0.13283751736555433</v>
      </c>
      <c r="I384" s="10">
        <f>($C$6-H384)^2</f>
        <v>1.7645806019843946E-2</v>
      </c>
      <c r="J384" s="1">
        <f>2*(H384-$C$6)</f>
        <v>0.26567503473110865</v>
      </c>
      <c r="K384" s="10">
        <f t="shared" si="291"/>
        <v>0.11519171134571038</v>
      </c>
      <c r="L384" s="1">
        <v>1</v>
      </c>
      <c r="M384" s="1">
        <f t="shared" si="292"/>
        <v>1</v>
      </c>
      <c r="N384" s="10">
        <f t="shared" si="293"/>
        <v>0</v>
      </c>
      <c r="O384" s="1">
        <f t="shared" si="294"/>
        <v>3.0603561912507446E-2</v>
      </c>
      <c r="P384" s="1">
        <f t="shared" si="295"/>
        <v>3.0603561912507446E-2</v>
      </c>
      <c r="Q384" s="1">
        <f t="shared" si="296"/>
        <v>0</v>
      </c>
    </row>
    <row r="385" spans="1:17" ht="15" thickBot="1" x14ac:dyDescent="0.35">
      <c r="A385" s="1"/>
      <c r="B385" s="1"/>
      <c r="C385" s="1"/>
      <c r="D385" s="1"/>
      <c r="E385" s="3">
        <v>1</v>
      </c>
      <c r="F385" s="3">
        <v>1</v>
      </c>
      <c r="G385" s="1">
        <f>A382+(B382*E385)+(C382*F385)</f>
        <v>1.6588059361071612</v>
      </c>
      <c r="H385" s="1">
        <f>1/(1+EXP(-G385))</f>
        <v>0.84007764905924309</v>
      </c>
      <c r="I385" s="10">
        <f>($C$7-H385)^2</f>
        <v>2.5575158330418613E-2</v>
      </c>
      <c r="J385" s="1">
        <f>2*(H385-$C$7)</f>
        <v>-0.31984470188151382</v>
      </c>
      <c r="K385" s="10">
        <f t="shared" si="291"/>
        <v>0.13434719261033831</v>
      </c>
      <c r="L385" s="1">
        <v>1</v>
      </c>
      <c r="M385" s="1">
        <f t="shared" si="292"/>
        <v>1</v>
      </c>
      <c r="N385" s="10">
        <f t="shared" si="293"/>
        <v>1</v>
      </c>
      <c r="O385" s="1">
        <f t="shared" si="294"/>
        <v>-4.2970237769071974E-2</v>
      </c>
      <c r="P385" s="1">
        <f t="shared" si="295"/>
        <v>-4.2970237769071974E-2</v>
      </c>
      <c r="Q385" s="1">
        <f t="shared" si="296"/>
        <v>-4.2970237769071974E-2</v>
      </c>
    </row>
    <row r="386" spans="1:17" ht="15" thickBot="1" x14ac:dyDescent="0.35">
      <c r="A386" s="1"/>
      <c r="B386" s="1"/>
      <c r="C386" s="1"/>
      <c r="D386" s="1"/>
      <c r="E386" s="1"/>
      <c r="F386" s="1"/>
      <c r="G386" s="1"/>
      <c r="H386" s="1"/>
      <c r="I386" s="10">
        <f>SUM(I382:I385)</f>
        <v>6.0925178815405961E-2</v>
      </c>
      <c r="J386" s="1"/>
      <c r="K386" s="1"/>
      <c r="L386" s="1"/>
      <c r="M386" s="1"/>
      <c r="N386" s="1"/>
      <c r="O386" s="1">
        <f>AVERAGE(O382:O385)</f>
        <v>4.5845357892443997E-3</v>
      </c>
      <c r="P386" s="1">
        <f>AVERAGE(P382:P385)</f>
        <v>-3.0916689641411321E-3</v>
      </c>
      <c r="Q386" s="1">
        <f>AVERAGE(Q382:Q385)</f>
        <v>-3.0762245247205836E-3</v>
      </c>
    </row>
    <row r="387" spans="1:17" ht="15" thickBot="1" x14ac:dyDescent="0.35"/>
    <row r="388" spans="1:17" ht="15" thickBot="1" x14ac:dyDescent="0.35">
      <c r="A388" s="1" t="s">
        <v>27</v>
      </c>
      <c r="B388" s="3">
        <v>42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" thickBot="1" x14ac:dyDescent="0.35">
      <c r="A389" s="8" t="s">
        <v>7</v>
      </c>
      <c r="B389" s="20" t="s">
        <v>8</v>
      </c>
      <c r="C389" s="22"/>
      <c r="D389" s="1"/>
      <c r="E389" s="20" t="s">
        <v>9</v>
      </c>
      <c r="F389" s="22"/>
      <c r="G389" s="7"/>
      <c r="H389" s="8" t="s">
        <v>10</v>
      </c>
      <c r="I389" s="9" t="s">
        <v>11</v>
      </c>
      <c r="J389" s="1"/>
      <c r="K389" s="10"/>
      <c r="L389" s="23" t="s">
        <v>12</v>
      </c>
      <c r="M389" s="16"/>
      <c r="N389" s="24"/>
      <c r="O389" s="25" t="s">
        <v>13</v>
      </c>
      <c r="P389" s="26"/>
      <c r="Q389" s="27"/>
    </row>
    <row r="390" spans="1:17" ht="15" thickBot="1" x14ac:dyDescent="0.35">
      <c r="A390" s="11" t="s">
        <v>14</v>
      </c>
      <c r="B390" s="11" t="s">
        <v>15</v>
      </c>
      <c r="C390" s="11" t="s">
        <v>16</v>
      </c>
      <c r="D390" s="4"/>
      <c r="E390" s="11" t="s">
        <v>17</v>
      </c>
      <c r="F390" s="11" t="s">
        <v>18</v>
      </c>
      <c r="G390" s="11" t="s">
        <v>19</v>
      </c>
      <c r="H390" s="11" t="s">
        <v>20</v>
      </c>
      <c r="I390" s="12" t="s">
        <v>21</v>
      </c>
      <c r="J390" s="13" t="s">
        <v>22</v>
      </c>
      <c r="K390" s="14" t="s">
        <v>23</v>
      </c>
      <c r="L390" s="13" t="s">
        <v>24</v>
      </c>
      <c r="M390" s="13" t="s">
        <v>25</v>
      </c>
      <c r="N390" s="14" t="s">
        <v>26</v>
      </c>
      <c r="O390" s="13" t="s">
        <v>24</v>
      </c>
      <c r="P390" s="13" t="s">
        <v>25</v>
      </c>
      <c r="Q390" s="13" t="s">
        <v>26</v>
      </c>
    </row>
    <row r="391" spans="1:17" ht="15" thickBot="1" x14ac:dyDescent="0.35">
      <c r="A391" s="1">
        <f>A382-$C$9*O386</f>
        <v>-5.4555912307720806</v>
      </c>
      <c r="B391" s="1">
        <f>B382-$C$9*P386</f>
        <v>3.5645629028429098</v>
      </c>
      <c r="C391" s="1">
        <f>C382-$C$9*Q386</f>
        <v>3.5656678410325058</v>
      </c>
      <c r="D391" s="1"/>
      <c r="E391" s="3">
        <v>0</v>
      </c>
      <c r="F391" s="3">
        <v>0</v>
      </c>
      <c r="G391" s="1">
        <f>A391+(B391*E391)+(C391*F391)</f>
        <v>-5.4555912307720806</v>
      </c>
      <c r="H391" s="1">
        <f>1/(1+EXP(-G391))</f>
        <v>4.254174766070218E-3</v>
      </c>
      <c r="I391" s="10">
        <f>($C$4-H391)^2</f>
        <v>1.8098002940268595E-5</v>
      </c>
      <c r="J391" s="1">
        <f>2*(H391-$C$4)</f>
        <v>8.508349532140436E-3</v>
      </c>
      <c r="K391" s="10">
        <f xml:space="preserve"> EXP(-G391)/POWER(1+EXP(-G391),2)</f>
        <v>4.2360767631299499E-3</v>
      </c>
      <c r="L391" s="1">
        <v>1</v>
      </c>
      <c r="M391" s="1">
        <f>E391</f>
        <v>0</v>
      </c>
      <c r="N391" s="10">
        <f>F391</f>
        <v>0</v>
      </c>
      <c r="O391" s="1">
        <f>J391*K391*L391</f>
        <v>3.604202174568768E-5</v>
      </c>
      <c r="P391" s="1">
        <f>J391*K391*M391</f>
        <v>0</v>
      </c>
      <c r="Q391" s="1">
        <f>J391*K391*N391</f>
        <v>0</v>
      </c>
    </row>
    <row r="392" spans="1:17" ht="15" thickBot="1" x14ac:dyDescent="0.35">
      <c r="A392" s="1"/>
      <c r="B392" s="1"/>
      <c r="C392" s="1"/>
      <c r="D392" s="1"/>
      <c r="E392" s="3">
        <v>0</v>
      </c>
      <c r="F392" s="3">
        <v>1</v>
      </c>
      <c r="G392" s="1">
        <f>A391+(B391*E392)+(C391*F392)</f>
        <v>-1.8899233897395749</v>
      </c>
      <c r="H392" s="1">
        <f t="shared" ref="H392:H393" si="297">1/(1+EXP(-G392))</f>
        <v>0.13125320473805727</v>
      </c>
      <c r="I392" s="10">
        <f>($C$5-H392)^2</f>
        <v>1.7227403754010377E-2</v>
      </c>
      <c r="J392" s="1">
        <f>2*(H392-$C$5)</f>
        <v>0.26250640947611453</v>
      </c>
      <c r="K392" s="10">
        <f t="shared" ref="K392:K394" si="298" xml:space="preserve"> EXP(-G392)/POWER(1+EXP(-G392),2)</f>
        <v>0.11402580098404688</v>
      </c>
      <c r="L392" s="1">
        <v>1</v>
      </c>
      <c r="M392" s="1">
        <f t="shared" ref="M392:M394" si="299">E392</f>
        <v>0</v>
      </c>
      <c r="N392" s="10">
        <f t="shared" ref="N392:N394" si="300">F392</f>
        <v>1</v>
      </c>
      <c r="O392" s="1">
        <f t="shared" ref="O392:O394" si="301">J392*K392*L392</f>
        <v>2.9932503603960155E-2</v>
      </c>
      <c r="P392" s="1">
        <f t="shared" ref="P392:P394" si="302">J392*K392*M392</f>
        <v>0</v>
      </c>
      <c r="Q392" s="1">
        <f t="shared" ref="Q392:Q394" si="303">J392*K392*N392</f>
        <v>2.9932503603960155E-2</v>
      </c>
    </row>
    <row r="393" spans="1:17" ht="15" thickBot="1" x14ac:dyDescent="0.35">
      <c r="A393" s="1"/>
      <c r="B393" s="1"/>
      <c r="C393" s="1"/>
      <c r="D393" s="1"/>
      <c r="E393" s="3">
        <v>1</v>
      </c>
      <c r="F393" s="3">
        <v>0</v>
      </c>
      <c r="G393" s="1">
        <f>A391+(B391*E393)+(C391*F393)</f>
        <v>-1.8910283279291709</v>
      </c>
      <c r="H393" s="1">
        <f t="shared" si="297"/>
        <v>0.13112726460211727</v>
      </c>
      <c r="I393" s="10">
        <f>($C$6-H393)^2</f>
        <v>1.7194359522033676E-2</v>
      </c>
      <c r="J393" s="1">
        <f>2*(H393-$C$6)</f>
        <v>0.26225452920423453</v>
      </c>
      <c r="K393" s="10">
        <f t="shared" si="298"/>
        <v>0.11393290508008359</v>
      </c>
      <c r="L393" s="1">
        <v>1</v>
      </c>
      <c r="M393" s="1">
        <f t="shared" si="299"/>
        <v>1</v>
      </c>
      <c r="N393" s="10">
        <f t="shared" si="300"/>
        <v>0</v>
      </c>
      <c r="O393" s="1">
        <f t="shared" si="301"/>
        <v>2.9879420382648063E-2</v>
      </c>
      <c r="P393" s="1">
        <f t="shared" si="302"/>
        <v>2.9879420382648063E-2</v>
      </c>
      <c r="Q393" s="1">
        <f t="shared" si="303"/>
        <v>0</v>
      </c>
    </row>
    <row r="394" spans="1:17" ht="15" thickBot="1" x14ac:dyDescent="0.35">
      <c r="A394" s="1"/>
      <c r="B394" s="1"/>
      <c r="C394" s="1"/>
      <c r="D394" s="1"/>
      <c r="E394" s="3">
        <v>1</v>
      </c>
      <c r="F394" s="3">
        <v>1</v>
      </c>
      <c r="G394" s="1">
        <f>A391+(B391*E394)+(C391*F394)</f>
        <v>1.6746395131033349</v>
      </c>
      <c r="H394" s="1">
        <f>1/(1+EXP(-G394))</f>
        <v>0.84219340885893101</v>
      </c>
      <c r="I394" s="10">
        <f>($C$7-H394)^2</f>
        <v>2.4902920207564513E-2</v>
      </c>
      <c r="J394" s="1">
        <f>2*(H394-$C$7)</f>
        <v>-0.31561318228213797</v>
      </c>
      <c r="K394" s="10">
        <f t="shared" si="298"/>
        <v>0.1329036709335045</v>
      </c>
      <c r="L394" s="1">
        <v>1</v>
      </c>
      <c r="M394" s="1">
        <f t="shared" si="299"/>
        <v>1</v>
      </c>
      <c r="N394" s="10">
        <f t="shared" si="300"/>
        <v>1</v>
      </c>
      <c r="O394" s="1">
        <f t="shared" si="301"/>
        <v>-4.1946150520301435E-2</v>
      </c>
      <c r="P394" s="1">
        <f t="shared" si="302"/>
        <v>-4.1946150520301435E-2</v>
      </c>
      <c r="Q394" s="1">
        <f t="shared" si="303"/>
        <v>-4.1946150520301435E-2</v>
      </c>
    </row>
    <row r="395" spans="1:17" ht="15" thickBot="1" x14ac:dyDescent="0.35">
      <c r="A395" s="1"/>
      <c r="B395" s="1"/>
      <c r="C395" s="1"/>
      <c r="D395" s="1"/>
      <c r="E395" s="1"/>
      <c r="F395" s="1"/>
      <c r="G395" s="1"/>
      <c r="H395" s="1"/>
      <c r="I395" s="10">
        <f>SUM(I391:I394)</f>
        <v>5.934278148654884E-2</v>
      </c>
      <c r="J395" s="1"/>
      <c r="K395" s="1"/>
      <c r="L395" s="1"/>
      <c r="M395" s="1"/>
      <c r="N395" s="1"/>
      <c r="O395" s="1">
        <f>AVERAGE(O391:O394)</f>
        <v>4.475453872013117E-3</v>
      </c>
      <c r="P395" s="1">
        <f>AVERAGE(P391:P394)</f>
        <v>-3.0166825344133431E-3</v>
      </c>
      <c r="Q395" s="1">
        <f>AVERAGE(Q391:Q394)</f>
        <v>-3.00341172908532E-3</v>
      </c>
    </row>
    <row r="396" spans="1:17" ht="15" thickBot="1" x14ac:dyDescent="0.35"/>
    <row r="397" spans="1:17" ht="15" thickBot="1" x14ac:dyDescent="0.35">
      <c r="A397" s="1" t="s">
        <v>27</v>
      </c>
      <c r="B397" s="3">
        <v>43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" thickBot="1" x14ac:dyDescent="0.35">
      <c r="A398" s="8" t="s">
        <v>7</v>
      </c>
      <c r="B398" s="20" t="s">
        <v>8</v>
      </c>
      <c r="C398" s="22"/>
      <c r="D398" s="1"/>
      <c r="E398" s="20" t="s">
        <v>9</v>
      </c>
      <c r="F398" s="22"/>
      <c r="G398" s="7"/>
      <c r="H398" s="8" t="s">
        <v>10</v>
      </c>
      <c r="I398" s="9" t="s">
        <v>11</v>
      </c>
      <c r="J398" s="1"/>
      <c r="K398" s="10"/>
      <c r="L398" s="23" t="s">
        <v>12</v>
      </c>
      <c r="M398" s="16"/>
      <c r="N398" s="24"/>
      <c r="O398" s="25" t="s">
        <v>13</v>
      </c>
      <c r="P398" s="26"/>
      <c r="Q398" s="27"/>
    </row>
    <row r="399" spans="1:17" ht="15" thickBot="1" x14ac:dyDescent="0.35">
      <c r="A399" s="11" t="s">
        <v>14</v>
      </c>
      <c r="B399" s="11" t="s">
        <v>15</v>
      </c>
      <c r="C399" s="11" t="s">
        <v>16</v>
      </c>
      <c r="D399" s="4"/>
      <c r="E399" s="11" t="s">
        <v>17</v>
      </c>
      <c r="F399" s="11" t="s">
        <v>18</v>
      </c>
      <c r="G399" s="11" t="s">
        <v>19</v>
      </c>
      <c r="H399" s="11" t="s">
        <v>20</v>
      </c>
      <c r="I399" s="12" t="s">
        <v>21</v>
      </c>
      <c r="J399" s="13" t="s">
        <v>22</v>
      </c>
      <c r="K399" s="14" t="s">
        <v>23</v>
      </c>
      <c r="L399" s="13" t="s">
        <v>24</v>
      </c>
      <c r="M399" s="13" t="s">
        <v>25</v>
      </c>
      <c r="N399" s="14" t="s">
        <v>26</v>
      </c>
      <c r="O399" s="13" t="s">
        <v>24</v>
      </c>
      <c r="P399" s="13" t="s">
        <v>25</v>
      </c>
      <c r="Q399" s="13" t="s">
        <v>26</v>
      </c>
    </row>
    <row r="400" spans="1:17" ht="15" thickBot="1" x14ac:dyDescent="0.35">
      <c r="A400" s="1">
        <f>A391-$C$9*O395</f>
        <v>-5.5003457694922115</v>
      </c>
      <c r="B400" s="1">
        <f>B391-$C$9*P395</f>
        <v>3.5947297281870432</v>
      </c>
      <c r="C400" s="1">
        <f>C391-$C$9*Q395</f>
        <v>3.5957019583233589</v>
      </c>
      <c r="D400" s="1"/>
      <c r="E400" s="3">
        <v>0</v>
      </c>
      <c r="F400" s="3">
        <v>0</v>
      </c>
      <c r="G400" s="1">
        <f>A400+(B400*E400)+(C400*F400)</f>
        <v>-5.5003457694922115</v>
      </c>
      <c r="H400" s="1">
        <f>1/(1+EXP(-G400))</f>
        <v>4.0687363547852939E-3</v>
      </c>
      <c r="I400" s="10">
        <f>($C$4-H400)^2</f>
        <v>1.6554615524751521E-5</v>
      </c>
      <c r="J400" s="1">
        <f>2*(H400-$C$4)</f>
        <v>8.1374727095705878E-3</v>
      </c>
      <c r="K400" s="10">
        <f xml:space="preserve"> EXP(-G400)/POWER(1+EXP(-G400),2)</f>
        <v>4.0521817392605419E-3</v>
      </c>
      <c r="L400" s="1">
        <v>1</v>
      </c>
      <c r="M400" s="1">
        <f>E400</f>
        <v>0</v>
      </c>
      <c r="N400" s="10">
        <f>F400</f>
        <v>0</v>
      </c>
      <c r="O400" s="1">
        <f>J400*K400*L400</f>
        <v>3.2974518317452936E-5</v>
      </c>
      <c r="P400" s="1">
        <f>J400*K400*M400</f>
        <v>0</v>
      </c>
      <c r="Q400" s="1">
        <f>J400*K400*N400</f>
        <v>0</v>
      </c>
    </row>
    <row r="401" spans="1:17" ht="15" thickBot="1" x14ac:dyDescent="0.35">
      <c r="A401" s="1"/>
      <c r="B401" s="1"/>
      <c r="C401" s="1"/>
      <c r="D401" s="1"/>
      <c r="E401" s="3">
        <v>0</v>
      </c>
      <c r="F401" s="3">
        <v>1</v>
      </c>
      <c r="G401" s="1">
        <f>A400+(B400*E401)+(C400*F401)</f>
        <v>-1.9046438111688526</v>
      </c>
      <c r="H401" s="1">
        <f t="shared" ref="H401:H402" si="304">1/(1+EXP(-G401))</f>
        <v>0.12958378880957824</v>
      </c>
      <c r="I401" s="10">
        <f>($C$5-H401)^2</f>
        <v>1.6791958322245375E-2</v>
      </c>
      <c r="J401" s="1">
        <f>2*(H401-$C$5)</f>
        <v>0.25916757761915649</v>
      </c>
      <c r="K401" s="10">
        <f t="shared" ref="K401:K403" si="305" xml:space="preserve"> EXP(-G401)/POWER(1+EXP(-G401),2)</f>
        <v>0.11279183048733288</v>
      </c>
      <c r="L401" s="1">
        <v>1</v>
      </c>
      <c r="M401" s="1">
        <f t="shared" ref="M401:M403" si="306">E401</f>
        <v>0</v>
      </c>
      <c r="N401" s="10">
        <f t="shared" ref="N401:N403" si="307">F401</f>
        <v>1</v>
      </c>
      <c r="O401" s="1">
        <f t="shared" ref="O401:O403" si="308">J401*K401*L401</f>
        <v>2.9231985482632585E-2</v>
      </c>
      <c r="P401" s="1">
        <f t="shared" ref="P401:P403" si="309">J401*K401*M401</f>
        <v>0</v>
      </c>
      <c r="Q401" s="1">
        <f t="shared" ref="Q401:Q403" si="310">J401*K401*N401</f>
        <v>2.9231985482632585E-2</v>
      </c>
    </row>
    <row r="402" spans="1:17" ht="15" thickBot="1" x14ac:dyDescent="0.35">
      <c r="A402" s="1"/>
      <c r="B402" s="1"/>
      <c r="C402" s="1"/>
      <c r="D402" s="1"/>
      <c r="E402" s="3">
        <v>1</v>
      </c>
      <c r="F402" s="3">
        <v>0</v>
      </c>
      <c r="G402" s="1">
        <f>A400+(B400*E402)+(C400*F402)</f>
        <v>-1.9056160413051684</v>
      </c>
      <c r="H402" s="1">
        <f t="shared" si="304"/>
        <v>0.12947416867895906</v>
      </c>
      <c r="I402" s="10">
        <f>($C$6-H402)^2</f>
        <v>1.6763560355107541E-2</v>
      </c>
      <c r="J402" s="1">
        <f>2*(H402-$C$6)</f>
        <v>0.25894833735791811</v>
      </c>
      <c r="K402" s="10">
        <f t="shared" si="305"/>
        <v>0.11271060832385152</v>
      </c>
      <c r="L402" s="1">
        <v>1</v>
      </c>
      <c r="M402" s="1">
        <f t="shared" si="306"/>
        <v>1</v>
      </c>
      <c r="N402" s="10">
        <f t="shared" si="307"/>
        <v>0</v>
      </c>
      <c r="O402" s="1">
        <f t="shared" si="308"/>
        <v>2.9186224628060878E-2</v>
      </c>
      <c r="P402" s="1">
        <f t="shared" si="309"/>
        <v>2.9186224628060878E-2</v>
      </c>
      <c r="Q402" s="1">
        <f t="shared" si="310"/>
        <v>0</v>
      </c>
    </row>
    <row r="403" spans="1:17" ht="15" thickBot="1" x14ac:dyDescent="0.35">
      <c r="A403" s="1"/>
      <c r="B403" s="1"/>
      <c r="C403" s="1"/>
      <c r="D403" s="1"/>
      <c r="E403" s="3">
        <v>1</v>
      </c>
      <c r="F403" s="3">
        <v>1</v>
      </c>
      <c r="G403" s="1">
        <f>A400+(B400*E403)+(C400*F403)</f>
        <v>1.6900859170181906</v>
      </c>
      <c r="H403" s="1">
        <f>1/(1+EXP(-G403))</f>
        <v>0.84423545846576509</v>
      </c>
      <c r="I403" s="10">
        <f>($C$7-H403)^2</f>
        <v>2.4262592399370394E-2</v>
      </c>
      <c r="J403" s="1">
        <f>2*(H403-$C$7)</f>
        <v>-0.31152908306846983</v>
      </c>
      <c r="K403" s="10">
        <f t="shared" si="305"/>
        <v>0.13150194913486452</v>
      </c>
      <c r="L403" s="1">
        <v>1</v>
      </c>
      <c r="M403" s="1">
        <f t="shared" si="306"/>
        <v>1</v>
      </c>
      <c r="N403" s="10">
        <f t="shared" si="307"/>
        <v>1</v>
      </c>
      <c r="O403" s="1">
        <f t="shared" si="308"/>
        <v>-4.0966681635700899E-2</v>
      </c>
      <c r="P403" s="1">
        <f t="shared" si="309"/>
        <v>-4.0966681635700899E-2</v>
      </c>
      <c r="Q403" s="1">
        <f t="shared" si="310"/>
        <v>-4.0966681635700899E-2</v>
      </c>
    </row>
    <row r="404" spans="1:17" ht="15" thickBot="1" x14ac:dyDescent="0.35">
      <c r="A404" s="1"/>
      <c r="B404" s="1"/>
      <c r="C404" s="1"/>
      <c r="D404" s="1"/>
      <c r="E404" s="1"/>
      <c r="F404" s="1"/>
      <c r="G404" s="1"/>
      <c r="H404" s="1"/>
      <c r="I404" s="10">
        <f>SUM(I400:I403)</f>
        <v>5.7834665692248058E-2</v>
      </c>
      <c r="J404" s="1"/>
      <c r="K404" s="1"/>
      <c r="L404" s="1"/>
      <c r="M404" s="1"/>
      <c r="N404" s="1"/>
      <c r="O404" s="1">
        <f>AVERAGE(O400:O403)</f>
        <v>4.3711257483275041E-3</v>
      </c>
      <c r="P404" s="1">
        <f>AVERAGE(P400:P403)</f>
        <v>-2.9451142519100054E-3</v>
      </c>
      <c r="Q404" s="1">
        <f>AVERAGE(Q400:Q403)</f>
        <v>-2.9336740382670786E-3</v>
      </c>
    </row>
    <row r="405" spans="1:17" ht="15" thickBot="1" x14ac:dyDescent="0.35"/>
    <row r="406" spans="1:17" ht="15" thickBot="1" x14ac:dyDescent="0.35">
      <c r="A406" s="1" t="s">
        <v>27</v>
      </c>
      <c r="B406" s="3">
        <v>44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" thickBot="1" x14ac:dyDescent="0.35">
      <c r="A407" s="8" t="s">
        <v>7</v>
      </c>
      <c r="B407" s="20" t="s">
        <v>8</v>
      </c>
      <c r="C407" s="22"/>
      <c r="D407" s="1"/>
      <c r="E407" s="20" t="s">
        <v>9</v>
      </c>
      <c r="F407" s="22"/>
      <c r="G407" s="7"/>
      <c r="H407" s="8" t="s">
        <v>10</v>
      </c>
      <c r="I407" s="9" t="s">
        <v>11</v>
      </c>
      <c r="J407" s="1"/>
      <c r="K407" s="10"/>
      <c r="L407" s="23" t="s">
        <v>12</v>
      </c>
      <c r="M407" s="16"/>
      <c r="N407" s="24"/>
      <c r="O407" s="25" t="s">
        <v>13</v>
      </c>
      <c r="P407" s="26"/>
      <c r="Q407" s="27"/>
    </row>
    <row r="408" spans="1:17" ht="15" thickBot="1" x14ac:dyDescent="0.35">
      <c r="A408" s="11" t="s">
        <v>14</v>
      </c>
      <c r="B408" s="11" t="s">
        <v>15</v>
      </c>
      <c r="C408" s="11" t="s">
        <v>16</v>
      </c>
      <c r="D408" s="4"/>
      <c r="E408" s="11" t="s">
        <v>17</v>
      </c>
      <c r="F408" s="11" t="s">
        <v>18</v>
      </c>
      <c r="G408" s="11" t="s">
        <v>19</v>
      </c>
      <c r="H408" s="11" t="s">
        <v>20</v>
      </c>
      <c r="I408" s="12" t="s">
        <v>21</v>
      </c>
      <c r="J408" s="13" t="s">
        <v>22</v>
      </c>
      <c r="K408" s="14" t="s">
        <v>23</v>
      </c>
      <c r="L408" s="13" t="s">
        <v>24</v>
      </c>
      <c r="M408" s="13" t="s">
        <v>25</v>
      </c>
      <c r="N408" s="14" t="s">
        <v>26</v>
      </c>
      <c r="O408" s="13" t="s">
        <v>24</v>
      </c>
      <c r="P408" s="13" t="s">
        <v>25</v>
      </c>
      <c r="Q408" s="13" t="s">
        <v>26</v>
      </c>
    </row>
    <row r="409" spans="1:17" ht="15" thickBot="1" x14ac:dyDescent="0.35">
      <c r="A409" s="1">
        <f>A400-$C$9*O404</f>
        <v>-5.5440570269754863</v>
      </c>
      <c r="B409" s="1">
        <f>B400-$C$9*P404</f>
        <v>3.6241808707061431</v>
      </c>
      <c r="C409" s="1">
        <f>C400-$C$9*Q404</f>
        <v>3.6250386987060299</v>
      </c>
      <c r="D409" s="1"/>
      <c r="E409" s="3">
        <v>0</v>
      </c>
      <c r="F409" s="3">
        <v>0</v>
      </c>
      <c r="G409" s="1">
        <f>A409+(B409*E409)+(C409*F409)</f>
        <v>-5.5440570269754863</v>
      </c>
      <c r="H409" s="1">
        <f>1/(1+EXP(-G409))</f>
        <v>3.8953956361512331E-3</v>
      </c>
      <c r="I409" s="10">
        <f>($C$4-H409)^2</f>
        <v>1.517410716214607E-5</v>
      </c>
      <c r="J409" s="1">
        <f>2*(H409-$C$4)</f>
        <v>7.7907912723024662E-3</v>
      </c>
      <c r="K409" s="10">
        <f xml:space="preserve"> EXP(-G409)/POWER(1+EXP(-G409),2)</f>
        <v>3.8802215289890879E-3</v>
      </c>
      <c r="L409" s="1">
        <v>1</v>
      </c>
      <c r="M409" s="1">
        <f>E409</f>
        <v>0</v>
      </c>
      <c r="N409" s="10">
        <f>F409</f>
        <v>0</v>
      </c>
      <c r="O409" s="1">
        <f>J409*K409*L409</f>
        <v>3.0229996022648315E-5</v>
      </c>
      <c r="P409" s="1">
        <f>J409*K409*M409</f>
        <v>0</v>
      </c>
      <c r="Q409" s="1">
        <f>J409*K409*N409</f>
        <v>0</v>
      </c>
    </row>
    <row r="410" spans="1:17" ht="15" thickBot="1" x14ac:dyDescent="0.35">
      <c r="A410" s="1"/>
      <c r="B410" s="1"/>
      <c r="C410" s="1"/>
      <c r="D410" s="1"/>
      <c r="E410" s="3">
        <v>0</v>
      </c>
      <c r="F410" s="3">
        <v>1</v>
      </c>
      <c r="G410" s="1">
        <f>A409+(B409*E410)+(C409*F410)</f>
        <v>-1.9190183282694564</v>
      </c>
      <c r="H410" s="1">
        <f t="shared" ref="H410:H411" si="311">1/(1+EXP(-G410))</f>
        <v>0.127971075462043</v>
      </c>
      <c r="I410" s="10">
        <f>($C$5-H410)^2</f>
        <v>1.6376596154911906E-2</v>
      </c>
      <c r="J410" s="1">
        <f>2*(H410-$C$5)</f>
        <v>0.25594215092408601</v>
      </c>
      <c r="K410" s="10">
        <f t="shared" ref="K410:K412" si="312" xml:space="preserve"> EXP(-G410)/POWER(1+EXP(-G410),2)</f>
        <v>0.11159447930713109</v>
      </c>
      <c r="L410" s="1">
        <v>1</v>
      </c>
      <c r="M410" s="1">
        <f t="shared" ref="M410:M412" si="313">E410</f>
        <v>0</v>
      </c>
      <c r="N410" s="10">
        <f t="shared" ref="N410:N412" si="314">F410</f>
        <v>1</v>
      </c>
      <c r="O410" s="1">
        <f t="shared" ref="O410:O412" si="315">J410*K410*L410</f>
        <v>2.8561731065120541E-2</v>
      </c>
      <c r="P410" s="1">
        <f t="shared" ref="P410:P412" si="316">J410*K410*M410</f>
        <v>0</v>
      </c>
      <c r="Q410" s="1">
        <f t="shared" ref="Q410:Q412" si="317">J410*K410*N410</f>
        <v>2.8561731065120541E-2</v>
      </c>
    </row>
    <row r="411" spans="1:17" ht="15" thickBot="1" x14ac:dyDescent="0.35">
      <c r="A411" s="1"/>
      <c r="B411" s="1"/>
      <c r="C411" s="1"/>
      <c r="D411" s="1"/>
      <c r="E411" s="3">
        <v>1</v>
      </c>
      <c r="F411" s="3">
        <v>0</v>
      </c>
      <c r="G411" s="1">
        <f>A409+(B409*E411)+(C409*F411)</f>
        <v>-1.9198761562693432</v>
      </c>
      <c r="H411" s="1">
        <f t="shared" si="311"/>
        <v>0.12787537713978803</v>
      </c>
      <c r="I411" s="10">
        <f>($C$6-H411)^2</f>
        <v>1.6352112078643021E-2</v>
      </c>
      <c r="J411" s="1">
        <f>2*(H411-$C$6)</f>
        <v>0.25575075427957605</v>
      </c>
      <c r="K411" s="10">
        <f t="shared" si="312"/>
        <v>0.11152326506114502</v>
      </c>
      <c r="L411" s="1">
        <v>1</v>
      </c>
      <c r="M411" s="1">
        <f t="shared" si="313"/>
        <v>1</v>
      </c>
      <c r="N411" s="10">
        <f t="shared" si="314"/>
        <v>0</v>
      </c>
      <c r="O411" s="1">
        <f t="shared" si="315"/>
        <v>2.8522159159108929E-2</v>
      </c>
      <c r="P411" s="1">
        <f t="shared" si="316"/>
        <v>2.8522159159108929E-2</v>
      </c>
      <c r="Q411" s="1">
        <f t="shared" si="317"/>
        <v>0</v>
      </c>
    </row>
    <row r="412" spans="1:17" ht="15" thickBot="1" x14ac:dyDescent="0.35">
      <c r="A412" s="1"/>
      <c r="B412" s="1"/>
      <c r="C412" s="1"/>
      <c r="D412" s="1"/>
      <c r="E412" s="3">
        <v>1</v>
      </c>
      <c r="F412" s="3">
        <v>1</v>
      </c>
      <c r="G412" s="1">
        <f>A409+(B409*E412)+(C409*F412)</f>
        <v>1.7051625424366867</v>
      </c>
      <c r="H412" s="1">
        <f>1/(1+EXP(-G412))</f>
        <v>0.84620779051084127</v>
      </c>
      <c r="I412" s="10">
        <f>($C$7-H412)^2</f>
        <v>2.3652043699557285E-2</v>
      </c>
      <c r="J412" s="1">
        <f>2*(H412-$C$7)</f>
        <v>-0.30758441897831745</v>
      </c>
      <c r="K412" s="10">
        <f t="shared" si="312"/>
        <v>0.1301401657896015</v>
      </c>
      <c r="L412" s="1">
        <v>1</v>
      </c>
      <c r="M412" s="1">
        <f t="shared" si="313"/>
        <v>1</v>
      </c>
      <c r="N412" s="10">
        <f t="shared" si="314"/>
        <v>1</v>
      </c>
      <c r="O412" s="1">
        <f t="shared" si="315"/>
        <v>-4.0029087280136481E-2</v>
      </c>
      <c r="P412" s="1">
        <f t="shared" si="316"/>
        <v>-4.0029087280136481E-2</v>
      </c>
      <c r="Q412" s="1">
        <f t="shared" si="317"/>
        <v>-4.0029087280136481E-2</v>
      </c>
    </row>
    <row r="413" spans="1:17" ht="15" thickBot="1" x14ac:dyDescent="0.35">
      <c r="A413" s="1"/>
      <c r="B413" s="1"/>
      <c r="C413" s="1"/>
      <c r="D413" s="1"/>
      <c r="E413" s="1"/>
      <c r="F413" s="1"/>
      <c r="G413" s="1"/>
      <c r="H413" s="1"/>
      <c r="I413" s="10">
        <f>SUM(I409:I412)</f>
        <v>5.6395926040274359E-2</v>
      </c>
      <c r="J413" s="1"/>
      <c r="K413" s="1"/>
      <c r="L413" s="1"/>
      <c r="M413" s="1"/>
      <c r="N413" s="1"/>
      <c r="O413" s="1">
        <f>AVERAGE(O409:O412)</f>
        <v>4.2712582350289095E-3</v>
      </c>
      <c r="P413" s="1">
        <f>AVERAGE(P409:P412)</f>
        <v>-2.876732030256888E-3</v>
      </c>
      <c r="Q413" s="1">
        <f>AVERAGE(Q409:Q412)</f>
        <v>-2.8668390537539851E-3</v>
      </c>
    </row>
    <row r="414" spans="1:17" ht="15" thickBot="1" x14ac:dyDescent="0.35"/>
    <row r="415" spans="1:17" ht="15" thickBot="1" x14ac:dyDescent="0.35">
      <c r="A415" s="1" t="s">
        <v>27</v>
      </c>
      <c r="B415" s="3">
        <v>45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" thickBot="1" x14ac:dyDescent="0.35">
      <c r="A416" s="8" t="s">
        <v>7</v>
      </c>
      <c r="B416" s="20" t="s">
        <v>8</v>
      </c>
      <c r="C416" s="22"/>
      <c r="D416" s="1"/>
      <c r="E416" s="20" t="s">
        <v>9</v>
      </c>
      <c r="F416" s="22"/>
      <c r="G416" s="7"/>
      <c r="H416" s="8" t="s">
        <v>10</v>
      </c>
      <c r="I416" s="9" t="s">
        <v>11</v>
      </c>
      <c r="J416" s="1"/>
      <c r="K416" s="10"/>
      <c r="L416" s="23" t="s">
        <v>12</v>
      </c>
      <c r="M416" s="16"/>
      <c r="N416" s="24"/>
      <c r="O416" s="25" t="s">
        <v>13</v>
      </c>
      <c r="P416" s="26"/>
      <c r="Q416" s="27"/>
    </row>
    <row r="417" spans="1:17" ht="15" thickBot="1" x14ac:dyDescent="0.35">
      <c r="A417" s="11" t="s">
        <v>14</v>
      </c>
      <c r="B417" s="11" t="s">
        <v>15</v>
      </c>
      <c r="C417" s="11" t="s">
        <v>16</v>
      </c>
      <c r="D417" s="4"/>
      <c r="E417" s="11" t="s">
        <v>17</v>
      </c>
      <c r="F417" s="11" t="s">
        <v>18</v>
      </c>
      <c r="G417" s="11" t="s">
        <v>19</v>
      </c>
      <c r="H417" s="11" t="s">
        <v>20</v>
      </c>
      <c r="I417" s="12" t="s">
        <v>21</v>
      </c>
      <c r="J417" s="13" t="s">
        <v>22</v>
      </c>
      <c r="K417" s="14" t="s">
        <v>23</v>
      </c>
      <c r="L417" s="13" t="s">
        <v>24</v>
      </c>
      <c r="M417" s="13" t="s">
        <v>25</v>
      </c>
      <c r="N417" s="14" t="s">
        <v>26</v>
      </c>
      <c r="O417" s="13" t="s">
        <v>24</v>
      </c>
      <c r="P417" s="13" t="s">
        <v>25</v>
      </c>
      <c r="Q417" s="13" t="s">
        <v>26</v>
      </c>
    </row>
    <row r="418" spans="1:17" ht="15" thickBot="1" x14ac:dyDescent="0.35">
      <c r="A418" s="1">
        <f>A409-$C$9*O413</f>
        <v>-5.586769609325775</v>
      </c>
      <c r="B418" s="1">
        <f>B409-$C$9*P413</f>
        <v>3.6529481910087118</v>
      </c>
      <c r="C418" s="1">
        <f>C409-$C$9*Q413</f>
        <v>3.6537070892435697</v>
      </c>
      <c r="D418" s="1"/>
      <c r="E418" s="3">
        <v>0</v>
      </c>
      <c r="F418" s="3">
        <v>0</v>
      </c>
      <c r="G418" s="1">
        <f>A418+(B418*E418)+(C418*F418)</f>
        <v>-5.586769609325775</v>
      </c>
      <c r="H418" s="1">
        <f>1/(1+EXP(-G418))</f>
        <v>3.7331245338004942E-3</v>
      </c>
      <c r="I418" s="10">
        <f>($C$4-H418)^2</f>
        <v>1.3936218784863158E-5</v>
      </c>
      <c r="J418" s="1">
        <f>2*(H418-$C$4)</f>
        <v>7.4662490676009885E-3</v>
      </c>
      <c r="K418" s="10">
        <f xml:space="preserve"> EXP(-G418)/POWER(1+EXP(-G418),2)</f>
        <v>3.7191883150156308E-3</v>
      </c>
      <c r="L418" s="1">
        <v>1</v>
      </c>
      <c r="M418" s="1">
        <f>E418</f>
        <v>0</v>
      </c>
      <c r="N418" s="10">
        <f>F418</f>
        <v>0</v>
      </c>
      <c r="O418" s="1">
        <f>J418*K418*L418</f>
        <v>2.7768386289217945E-5</v>
      </c>
      <c r="P418" s="1">
        <f>J418*K418*M418</f>
        <v>0</v>
      </c>
      <c r="Q418" s="1">
        <f>J418*K418*N418</f>
        <v>0</v>
      </c>
    </row>
    <row r="419" spans="1:17" ht="15" thickBot="1" x14ac:dyDescent="0.35">
      <c r="A419" s="1"/>
      <c r="B419" s="1"/>
      <c r="C419" s="1"/>
      <c r="D419" s="1"/>
      <c r="E419" s="3">
        <v>0</v>
      </c>
      <c r="F419" s="3">
        <v>1</v>
      </c>
      <c r="G419" s="1">
        <f>A418+(B418*E419)+(C418*F419)</f>
        <v>-1.9330625200822054</v>
      </c>
      <c r="H419" s="1">
        <f t="shared" ref="H419:H420" si="318">1/(1+EXP(-G419))</f>
        <v>0.12641199278160567</v>
      </c>
      <c r="I419" s="10">
        <f>($C$5-H419)^2</f>
        <v>1.5979991919016723E-2</v>
      </c>
      <c r="J419" s="1">
        <f>2*(H419-$C$5)</f>
        <v>0.25282398556321134</v>
      </c>
      <c r="K419" s="10">
        <f t="shared" ref="K419:K421" si="319" xml:space="preserve"> EXP(-G419)/POWER(1+EXP(-G419),2)</f>
        <v>0.11043200086258896</v>
      </c>
      <c r="L419" s="1">
        <v>1</v>
      </c>
      <c r="M419" s="1">
        <f t="shared" ref="M419:M421" si="320">E419</f>
        <v>0</v>
      </c>
      <c r="N419" s="10">
        <f t="shared" ref="N419:N421" si="321">F419</f>
        <v>1</v>
      </c>
      <c r="O419" s="1">
        <f t="shared" ref="O419:O421" si="322">J419*K419*L419</f>
        <v>2.7919858591799733E-2</v>
      </c>
      <c r="P419" s="1">
        <f t="shared" ref="P419:P421" si="323">J419*K419*M419</f>
        <v>0</v>
      </c>
      <c r="Q419" s="1">
        <f t="shared" ref="Q419:Q421" si="324">J419*K419*N419</f>
        <v>2.7919858591799733E-2</v>
      </c>
    </row>
    <row r="420" spans="1:17" ht="15" thickBot="1" x14ac:dyDescent="0.35">
      <c r="A420" s="1"/>
      <c r="B420" s="1"/>
      <c r="C420" s="1"/>
      <c r="D420" s="1"/>
      <c r="E420" s="3">
        <v>1</v>
      </c>
      <c r="F420" s="3">
        <v>0</v>
      </c>
      <c r="G420" s="1">
        <f>A418+(B418*E420)+(C418*F420)</f>
        <v>-1.9338214183170632</v>
      </c>
      <c r="H420" s="1">
        <f t="shared" si="318"/>
        <v>0.12632820988883056</v>
      </c>
      <c r="I420" s="10">
        <f>($C$6-H420)^2</f>
        <v>1.5958816613716429E-2</v>
      </c>
      <c r="J420" s="1">
        <f>2*(H420-$C$6)</f>
        <v>0.25265641977766112</v>
      </c>
      <c r="K420" s="10">
        <f t="shared" si="319"/>
        <v>0.11036939327511412</v>
      </c>
      <c r="L420" s="1">
        <v>1</v>
      </c>
      <c r="M420" s="1">
        <f t="shared" si="320"/>
        <v>1</v>
      </c>
      <c r="N420" s="10">
        <f t="shared" si="321"/>
        <v>0</v>
      </c>
      <c r="O420" s="1">
        <f t="shared" si="322"/>
        <v>2.7885535757923002E-2</v>
      </c>
      <c r="P420" s="1">
        <f t="shared" si="323"/>
        <v>2.7885535757923002E-2</v>
      </c>
      <c r="Q420" s="1">
        <f t="shared" si="324"/>
        <v>0</v>
      </c>
    </row>
    <row r="421" spans="1:17" ht="15" thickBot="1" x14ac:dyDescent="0.35">
      <c r="A421" s="1"/>
      <c r="B421" s="1"/>
      <c r="C421" s="1"/>
      <c r="D421" s="1"/>
      <c r="E421" s="3">
        <v>1</v>
      </c>
      <c r="F421" s="3">
        <v>1</v>
      </c>
      <c r="G421" s="1">
        <f>A418+(B418*E421)+(C418*F421)</f>
        <v>1.7198856709265065</v>
      </c>
      <c r="H421" s="1">
        <f>1/(1+EXP(-G421))</f>
        <v>0.84811410945074761</v>
      </c>
      <c r="I421" s="10">
        <f>($C$7-H421)^2</f>
        <v>2.3069323747939477E-2</v>
      </c>
      <c r="J421" s="1">
        <f>2*(H421-$C$7)</f>
        <v>-0.30377178109850478</v>
      </c>
      <c r="K421" s="10">
        <f t="shared" si="319"/>
        <v>0.12881656680131287</v>
      </c>
      <c r="L421" s="1">
        <v>1</v>
      </c>
      <c r="M421" s="1">
        <f t="shared" si="320"/>
        <v>1</v>
      </c>
      <c r="N421" s="10">
        <f t="shared" si="321"/>
        <v>1</v>
      </c>
      <c r="O421" s="1">
        <f t="shared" si="322"/>
        <v>-3.913083793222933E-2</v>
      </c>
      <c r="P421" s="1">
        <f t="shared" si="323"/>
        <v>-3.913083793222933E-2</v>
      </c>
      <c r="Q421" s="1">
        <f t="shared" si="324"/>
        <v>-3.913083793222933E-2</v>
      </c>
    </row>
    <row r="422" spans="1:17" ht="15" thickBot="1" x14ac:dyDescent="0.35">
      <c r="A422" s="1"/>
      <c r="B422" s="1"/>
      <c r="C422" s="1"/>
      <c r="D422" s="1"/>
      <c r="E422" s="1"/>
      <c r="F422" s="1"/>
      <c r="G422" s="1"/>
      <c r="H422" s="1"/>
      <c r="I422" s="10">
        <f>SUM(I418:I421)</f>
        <v>5.5022068499457497E-2</v>
      </c>
      <c r="J422" s="1"/>
      <c r="K422" s="1"/>
      <c r="L422" s="1"/>
      <c r="M422" s="1"/>
      <c r="N422" s="1"/>
      <c r="O422" s="1">
        <f>AVERAGE(O418:O421)</f>
        <v>4.1755812009456553E-3</v>
      </c>
      <c r="P422" s="1">
        <f>AVERAGE(P418:P421)</f>
        <v>-2.8113255435765821E-3</v>
      </c>
      <c r="Q422" s="1">
        <f>AVERAGE(Q418:Q421)</f>
        <v>-2.8027448351073993E-3</v>
      </c>
    </row>
    <row r="423" spans="1:17" ht="15" thickBot="1" x14ac:dyDescent="0.35"/>
    <row r="424" spans="1:17" ht="15" thickBot="1" x14ac:dyDescent="0.35">
      <c r="A424" s="1" t="s">
        <v>27</v>
      </c>
      <c r="B424" s="3">
        <v>46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" thickBot="1" x14ac:dyDescent="0.35">
      <c r="A425" s="8" t="s">
        <v>7</v>
      </c>
      <c r="B425" s="20" t="s">
        <v>8</v>
      </c>
      <c r="C425" s="22"/>
      <c r="D425" s="1"/>
      <c r="E425" s="20" t="s">
        <v>9</v>
      </c>
      <c r="F425" s="22"/>
      <c r="G425" s="7"/>
      <c r="H425" s="8" t="s">
        <v>10</v>
      </c>
      <c r="I425" s="9" t="s">
        <v>11</v>
      </c>
      <c r="J425" s="1"/>
      <c r="K425" s="10"/>
      <c r="L425" s="23" t="s">
        <v>12</v>
      </c>
      <c r="M425" s="16"/>
      <c r="N425" s="24"/>
      <c r="O425" s="25" t="s">
        <v>13</v>
      </c>
      <c r="P425" s="26"/>
      <c r="Q425" s="27"/>
    </row>
    <row r="426" spans="1:17" ht="15" thickBot="1" x14ac:dyDescent="0.35">
      <c r="A426" s="11" t="s">
        <v>14</v>
      </c>
      <c r="B426" s="11" t="s">
        <v>15</v>
      </c>
      <c r="C426" s="11" t="s">
        <v>16</v>
      </c>
      <c r="D426" s="4"/>
      <c r="E426" s="11" t="s">
        <v>17</v>
      </c>
      <c r="F426" s="11" t="s">
        <v>18</v>
      </c>
      <c r="G426" s="11" t="s">
        <v>19</v>
      </c>
      <c r="H426" s="11" t="s">
        <v>20</v>
      </c>
      <c r="I426" s="12" t="s">
        <v>21</v>
      </c>
      <c r="J426" s="13" t="s">
        <v>22</v>
      </c>
      <c r="K426" s="14" t="s">
        <v>23</v>
      </c>
      <c r="L426" s="13" t="s">
        <v>24</v>
      </c>
      <c r="M426" s="13" t="s">
        <v>25</v>
      </c>
      <c r="N426" s="14" t="s">
        <v>26</v>
      </c>
      <c r="O426" s="13" t="s">
        <v>24</v>
      </c>
      <c r="P426" s="13" t="s">
        <v>25</v>
      </c>
      <c r="Q426" s="13" t="s">
        <v>26</v>
      </c>
    </row>
    <row r="427" spans="1:17" ht="15" thickBot="1" x14ac:dyDescent="0.35">
      <c r="A427" s="1">
        <f>A418-$C$9*O422</f>
        <v>-5.6285254213352314</v>
      </c>
      <c r="B427" s="1">
        <f>B418-$C$9*P422</f>
        <v>3.6810614464444775</v>
      </c>
      <c r="C427" s="1">
        <f>C418-$C$9*Q422</f>
        <v>3.6817345375946435</v>
      </c>
      <c r="D427" s="1"/>
      <c r="E427" s="3">
        <v>0</v>
      </c>
      <c r="F427" s="3">
        <v>0</v>
      </c>
      <c r="G427" s="1">
        <f>A427+(B427*E427)+(C427*F427)</f>
        <v>-5.6285254213352314</v>
      </c>
      <c r="H427" s="1">
        <f>1/(1+EXP(-G427))</f>
        <v>3.5810012114026123E-3</v>
      </c>
      <c r="I427" s="10">
        <f>($C$4-H427)^2</f>
        <v>1.2823569676066977E-5</v>
      </c>
      <c r="J427" s="1">
        <f>2*(H427-$C$4)</f>
        <v>7.1620024228052246E-3</v>
      </c>
      <c r="K427" s="10">
        <f xml:space="preserve"> EXP(-G427)/POWER(1+EXP(-G427),2)</f>
        <v>3.5681776417265452E-3</v>
      </c>
      <c r="L427" s="1">
        <v>1</v>
      </c>
      <c r="M427" s="1">
        <f>E427</f>
        <v>0</v>
      </c>
      <c r="N427" s="10">
        <f>F427</f>
        <v>0</v>
      </c>
      <c r="O427" s="1">
        <f>J427*K427*L427</f>
        <v>2.5555296915044951E-5</v>
      </c>
      <c r="P427" s="1">
        <f>J427*K427*M427</f>
        <v>0</v>
      </c>
      <c r="Q427" s="1">
        <f>J427*K427*N427</f>
        <v>0</v>
      </c>
    </row>
    <row r="428" spans="1:17" ht="15" thickBot="1" x14ac:dyDescent="0.35">
      <c r="A428" s="1"/>
      <c r="B428" s="1"/>
      <c r="C428" s="1"/>
      <c r="D428" s="1"/>
      <c r="E428" s="3">
        <v>0</v>
      </c>
      <c r="F428" s="3">
        <v>1</v>
      </c>
      <c r="G428" s="1">
        <f>A427+(B427*E428)+(C427*F428)</f>
        <v>-1.9467908837405878</v>
      </c>
      <c r="H428" s="1">
        <f t="shared" ref="H428:H429" si="325">1/(1+EXP(-G428))</f>
        <v>0.12490370145507368</v>
      </c>
      <c r="I428" s="10">
        <f>($C$5-H428)^2</f>
        <v>1.5600934637178175E-2</v>
      </c>
      <c r="J428" s="1">
        <f>2*(H428-$C$5)</f>
        <v>0.24980740291014736</v>
      </c>
      <c r="K428" s="10">
        <f t="shared" ref="K428:K430" si="326" xml:space="preserve"> EXP(-G428)/POWER(1+EXP(-G428),2)</f>
        <v>0.10930276681789548</v>
      </c>
      <c r="L428" s="1">
        <v>1</v>
      </c>
      <c r="M428" s="1">
        <f t="shared" ref="M428:M430" si="327">E428</f>
        <v>0</v>
      </c>
      <c r="N428" s="10">
        <f t="shared" ref="N428:N430" si="328">F428</f>
        <v>1</v>
      </c>
      <c r="O428" s="1">
        <f t="shared" ref="O428:O430" si="329">J428*K428*L428</f>
        <v>2.7304640309671901E-2</v>
      </c>
      <c r="P428" s="1">
        <f t="shared" ref="P428:P430" si="330">J428*K428*M428</f>
        <v>0</v>
      </c>
      <c r="Q428" s="1">
        <f t="shared" ref="Q428:Q430" si="331">J428*K428*N428</f>
        <v>2.7304640309671901E-2</v>
      </c>
    </row>
    <row r="429" spans="1:17" ht="15" thickBot="1" x14ac:dyDescent="0.35">
      <c r="A429" s="1"/>
      <c r="B429" s="1"/>
      <c r="C429" s="1"/>
      <c r="D429" s="1"/>
      <c r="E429" s="3">
        <v>1</v>
      </c>
      <c r="F429" s="3">
        <v>0</v>
      </c>
      <c r="G429" s="1">
        <f>A427+(B427*E429)+(C427*F429)</f>
        <v>-1.9474639748907538</v>
      </c>
      <c r="H429" s="1">
        <f t="shared" si="325"/>
        <v>0.12483014930282284</v>
      </c>
      <c r="I429" s="10">
        <f>($C$6-H429)^2</f>
        <v>1.5582566174965042E-2</v>
      </c>
      <c r="J429" s="1">
        <f>2*(H429-$C$6)</f>
        <v>0.24966029860564568</v>
      </c>
      <c r="K429" s="10">
        <f t="shared" si="326"/>
        <v>0.10924758312785779</v>
      </c>
      <c r="L429" s="1">
        <v>1</v>
      </c>
      <c r="M429" s="1">
        <f t="shared" si="327"/>
        <v>1</v>
      </c>
      <c r="N429" s="10">
        <f t="shared" si="328"/>
        <v>0</v>
      </c>
      <c r="O429" s="1">
        <f t="shared" si="329"/>
        <v>2.7274784225646075E-2</v>
      </c>
      <c r="P429" s="1">
        <f t="shared" si="330"/>
        <v>2.7274784225646075E-2</v>
      </c>
      <c r="Q429" s="1">
        <f t="shared" si="331"/>
        <v>0</v>
      </c>
    </row>
    <row r="430" spans="1:17" ht="15" thickBot="1" x14ac:dyDescent="0.35">
      <c r="A430" s="1"/>
      <c r="B430" s="1"/>
      <c r="C430" s="1"/>
      <c r="D430" s="1"/>
      <c r="E430" s="3">
        <v>1</v>
      </c>
      <c r="F430" s="3">
        <v>1</v>
      </c>
      <c r="G430" s="1">
        <f>A427+(B427*E430)+(C427*F430)</f>
        <v>1.7342705627038897</v>
      </c>
      <c r="H430" s="1">
        <f>1/(1+EXP(-G430))</f>
        <v>0.84995785730839801</v>
      </c>
      <c r="I430" s="10">
        <f>($C$7-H430)^2</f>
        <v>2.2512644583487052E-2</v>
      </c>
      <c r="J430" s="1">
        <f>2*(H430-$C$7)</f>
        <v>-0.30008428538320397</v>
      </c>
      <c r="K430" s="10">
        <f t="shared" si="326"/>
        <v>0.12752949810811492</v>
      </c>
      <c r="L430" s="1">
        <v>1</v>
      </c>
      <c r="M430" s="1">
        <f t="shared" si="327"/>
        <v>1</v>
      </c>
      <c r="N430" s="10">
        <f t="shared" si="328"/>
        <v>1</v>
      </c>
      <c r="O430" s="1">
        <f t="shared" si="329"/>
        <v>-3.8269598305052333E-2</v>
      </c>
      <c r="P430" s="1">
        <f t="shared" si="330"/>
        <v>-3.8269598305052333E-2</v>
      </c>
      <c r="Q430" s="1">
        <f t="shared" si="331"/>
        <v>-3.8269598305052333E-2</v>
      </c>
    </row>
    <row r="431" spans="1:17" ht="15" thickBot="1" x14ac:dyDescent="0.35">
      <c r="A431" s="1"/>
      <c r="B431" s="1"/>
      <c r="C431" s="1"/>
      <c r="D431" s="1"/>
      <c r="E431" s="1"/>
      <c r="F431" s="1"/>
      <c r="G431" s="1"/>
      <c r="H431" s="1"/>
      <c r="I431" s="10">
        <f>SUM(I427:I430)</f>
        <v>5.3708968965306331E-2</v>
      </c>
      <c r="J431" s="1"/>
      <c r="K431" s="1"/>
      <c r="L431" s="1"/>
      <c r="M431" s="1"/>
      <c r="N431" s="1"/>
      <c r="O431" s="1">
        <f>AVERAGE(O427:O430)</f>
        <v>4.083845381795171E-3</v>
      </c>
      <c r="P431" s="1">
        <f>AVERAGE(P427:P430)</f>
        <v>-2.7487035198515645E-3</v>
      </c>
      <c r="Q431" s="1">
        <f>AVERAGE(Q427:Q430)</f>
        <v>-2.7412394988451079E-3</v>
      </c>
    </row>
    <row r="432" spans="1:17" ht="15" thickBot="1" x14ac:dyDescent="0.35"/>
    <row r="433" spans="1:17" ht="15" thickBot="1" x14ac:dyDescent="0.35">
      <c r="A433" s="1" t="s">
        <v>27</v>
      </c>
      <c r="B433" s="3">
        <v>47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" thickBot="1" x14ac:dyDescent="0.35">
      <c r="A434" s="8" t="s">
        <v>7</v>
      </c>
      <c r="B434" s="20" t="s">
        <v>8</v>
      </c>
      <c r="C434" s="22"/>
      <c r="D434" s="1"/>
      <c r="E434" s="20" t="s">
        <v>9</v>
      </c>
      <c r="F434" s="22"/>
      <c r="G434" s="7"/>
      <c r="H434" s="8" t="s">
        <v>10</v>
      </c>
      <c r="I434" s="9" t="s">
        <v>11</v>
      </c>
      <c r="J434" s="1"/>
      <c r="K434" s="10"/>
      <c r="L434" s="23" t="s">
        <v>12</v>
      </c>
      <c r="M434" s="16"/>
      <c r="N434" s="24"/>
      <c r="O434" s="25" t="s">
        <v>13</v>
      </c>
      <c r="P434" s="26"/>
      <c r="Q434" s="27"/>
    </row>
    <row r="435" spans="1:17" ht="15" thickBot="1" x14ac:dyDescent="0.35">
      <c r="A435" s="11" t="s">
        <v>14</v>
      </c>
      <c r="B435" s="11" t="s">
        <v>15</v>
      </c>
      <c r="C435" s="11" t="s">
        <v>16</v>
      </c>
      <c r="D435" s="4"/>
      <c r="E435" s="11" t="s">
        <v>17</v>
      </c>
      <c r="F435" s="11" t="s">
        <v>18</v>
      </c>
      <c r="G435" s="11" t="s">
        <v>19</v>
      </c>
      <c r="H435" s="11" t="s">
        <v>20</v>
      </c>
      <c r="I435" s="12" t="s">
        <v>21</v>
      </c>
      <c r="J435" s="13" t="s">
        <v>22</v>
      </c>
      <c r="K435" s="14" t="s">
        <v>23</v>
      </c>
      <c r="L435" s="13" t="s">
        <v>24</v>
      </c>
      <c r="M435" s="13" t="s">
        <v>25</v>
      </c>
      <c r="N435" s="14" t="s">
        <v>26</v>
      </c>
      <c r="O435" s="13" t="s">
        <v>24</v>
      </c>
      <c r="P435" s="13" t="s">
        <v>25</v>
      </c>
      <c r="Q435" s="13" t="s">
        <v>26</v>
      </c>
    </row>
    <row r="436" spans="1:17" ht="15" thickBot="1" x14ac:dyDescent="0.35">
      <c r="A436" s="1">
        <f>A427-$C$9*O431</f>
        <v>-5.6693638751531834</v>
      </c>
      <c r="B436" s="1">
        <f>B427-$C$9*P431</f>
        <v>3.708548481642993</v>
      </c>
      <c r="C436" s="1">
        <f>C427-$C$9*Q431</f>
        <v>3.7091469325830948</v>
      </c>
      <c r="D436" s="1"/>
      <c r="E436" s="3">
        <v>0</v>
      </c>
      <c r="F436" s="3">
        <v>0</v>
      </c>
      <c r="G436" s="1">
        <f>A436+(B436*E436)+(C436*F436)</f>
        <v>-5.6693638751531834</v>
      </c>
      <c r="H436" s="1">
        <f>1/(1+EXP(-G436))</f>
        <v>3.4381972623626121E-3</v>
      </c>
      <c r="I436" s="10">
        <f>($C$4-H436)^2</f>
        <v>1.1821200414917761E-5</v>
      </c>
      <c r="J436" s="1">
        <f>2*(H436-$C$4)</f>
        <v>6.8763945247252243E-3</v>
      </c>
      <c r="K436" s="10">
        <f xml:space="preserve"> EXP(-G436)/POWER(1+EXP(-G436),2)</f>
        <v>3.426376061947694E-3</v>
      </c>
      <c r="L436" s="1">
        <v>1</v>
      </c>
      <c r="M436" s="1">
        <f>E436</f>
        <v>0</v>
      </c>
      <c r="N436" s="10">
        <f>F436</f>
        <v>0</v>
      </c>
      <c r="O436" s="1">
        <f>J436*K436*L436</f>
        <v>2.3561113592026698E-5</v>
      </c>
      <c r="P436" s="1">
        <f>J436*K436*M436</f>
        <v>0</v>
      </c>
      <c r="Q436" s="1">
        <f>J436*K436*N436</f>
        <v>0</v>
      </c>
    </row>
    <row r="437" spans="1:17" ht="15" thickBot="1" x14ac:dyDescent="0.35">
      <c r="A437" s="1"/>
      <c r="B437" s="1"/>
      <c r="C437" s="1"/>
      <c r="D437" s="1"/>
      <c r="E437" s="3">
        <v>0</v>
      </c>
      <c r="F437" s="3">
        <v>1</v>
      </c>
      <c r="G437" s="1">
        <f>A436+(B436*E437)+(C436*F437)</f>
        <v>-1.9602169425700886</v>
      </c>
      <c r="H437" s="1">
        <f t="shared" ref="H437:H438" si="332">1/(1+EXP(-G437))</f>
        <v>0.12344357132117718</v>
      </c>
      <c r="I437" s="10">
        <f>($C$5-H437)^2</f>
        <v>1.5238315300526557E-2</v>
      </c>
      <c r="J437" s="1">
        <f>2*(H437-$C$5)</f>
        <v>0.24688714264235437</v>
      </c>
      <c r="K437" s="10">
        <f t="shared" ref="K437:K439" si="333" xml:space="preserve"> EXP(-G437)/POWER(1+EXP(-G437),2)</f>
        <v>0.10820525602065062</v>
      </c>
      <c r="L437" s="1">
        <v>1</v>
      </c>
      <c r="M437" s="1">
        <f t="shared" ref="M437:M439" si="334">E437</f>
        <v>0</v>
      </c>
      <c r="N437" s="10">
        <f t="shared" ref="N437:N439" si="335">F437</f>
        <v>1</v>
      </c>
      <c r="O437" s="1">
        <f t="shared" ref="O437:O439" si="336">J437*K437*L437</f>
        <v>2.6714486477822843E-2</v>
      </c>
      <c r="P437" s="1">
        <f t="shared" ref="P437:P439" si="337">J437*K437*M437</f>
        <v>0</v>
      </c>
      <c r="Q437" s="1">
        <f t="shared" ref="Q437:Q439" si="338">J437*K437*N437</f>
        <v>2.6714486477822843E-2</v>
      </c>
    </row>
    <row r="438" spans="1:17" ht="15" thickBot="1" x14ac:dyDescent="0.35">
      <c r="A438" s="1"/>
      <c r="B438" s="1"/>
      <c r="C438" s="1"/>
      <c r="D438" s="1"/>
      <c r="E438" s="3">
        <v>1</v>
      </c>
      <c r="F438" s="3">
        <v>0</v>
      </c>
      <c r="G438" s="1">
        <f>A436+(B436*E438)+(C436*F438)</f>
        <v>-1.9608153935101904</v>
      </c>
      <c r="H438" s="1">
        <f t="shared" si="332"/>
        <v>0.12337883037532758</v>
      </c>
      <c r="I438" s="10">
        <f>($C$6-H438)^2</f>
        <v>1.5222335784783856E-2</v>
      </c>
      <c r="J438" s="1">
        <f>2*(H438-$C$6)</f>
        <v>0.24675766075065517</v>
      </c>
      <c r="K438" s="10">
        <f t="shared" si="333"/>
        <v>0.10815649459054374</v>
      </c>
      <c r="L438" s="1">
        <v>1</v>
      </c>
      <c r="M438" s="1">
        <f t="shared" si="334"/>
        <v>1</v>
      </c>
      <c r="N438" s="10">
        <f t="shared" si="335"/>
        <v>0</v>
      </c>
      <c r="O438" s="1">
        <f t="shared" si="336"/>
        <v>2.6688443600153464E-2</v>
      </c>
      <c r="P438" s="1">
        <f t="shared" si="337"/>
        <v>2.6688443600153464E-2</v>
      </c>
      <c r="Q438" s="1">
        <f t="shared" si="338"/>
        <v>0</v>
      </c>
    </row>
    <row r="439" spans="1:17" ht="15" thickBot="1" x14ac:dyDescent="0.35">
      <c r="A439" s="1"/>
      <c r="B439" s="1"/>
      <c r="C439" s="1"/>
      <c r="D439" s="1"/>
      <c r="E439" s="3">
        <v>1</v>
      </c>
      <c r="F439" s="3">
        <v>1</v>
      </c>
      <c r="G439" s="1">
        <f>A436+(B436*E439)+(C436*F439)</f>
        <v>1.7483315390729044</v>
      </c>
      <c r="H439" s="1">
        <f>1/(1+EXP(-G439))</f>
        <v>0.85174223668512883</v>
      </c>
      <c r="I439" s="10">
        <f>($C$7-H439)^2</f>
        <v>2.1980364383128361E-2</v>
      </c>
      <c r="J439" s="1">
        <f>2*(H439-$C$7)</f>
        <v>-0.29651552662974234</v>
      </c>
      <c r="K439" s="10">
        <f t="shared" si="333"/>
        <v>0.12627739893174286</v>
      </c>
      <c r="L439" s="1">
        <v>1</v>
      </c>
      <c r="M439" s="1">
        <f t="shared" si="334"/>
        <v>1</v>
      </c>
      <c r="N439" s="10">
        <f t="shared" si="335"/>
        <v>1</v>
      </c>
      <c r="O439" s="1">
        <f t="shared" si="336"/>
        <v>-3.7443209445679797E-2</v>
      </c>
      <c r="P439" s="1">
        <f t="shared" si="337"/>
        <v>-3.7443209445679797E-2</v>
      </c>
      <c r="Q439" s="1">
        <f t="shared" si="338"/>
        <v>-3.7443209445679797E-2</v>
      </c>
    </row>
    <row r="440" spans="1:17" ht="15" thickBot="1" x14ac:dyDescent="0.35">
      <c r="A440" s="1"/>
      <c r="B440" s="1"/>
      <c r="C440" s="1"/>
      <c r="D440" s="1"/>
      <c r="E440" s="1"/>
      <c r="F440" s="1"/>
      <c r="G440" s="1"/>
      <c r="H440" s="1"/>
      <c r="I440" s="10">
        <f>SUM(I436:I439)</f>
        <v>5.2452836668853697E-2</v>
      </c>
      <c r="J440" s="1"/>
      <c r="K440" s="1"/>
      <c r="L440" s="1"/>
      <c r="M440" s="1"/>
      <c r="N440" s="1"/>
      <c r="O440" s="1">
        <f>AVERAGE(O436:O439)</f>
        <v>3.9958204364721351E-3</v>
      </c>
      <c r="P440" s="1">
        <f>AVERAGE(P436:P439)</f>
        <v>-2.6886914613815831E-3</v>
      </c>
      <c r="Q440" s="1">
        <f>AVERAGE(Q436:Q439)</f>
        <v>-2.6821807419642385E-3</v>
      </c>
    </row>
    <row r="441" spans="1:17" ht="15" thickBot="1" x14ac:dyDescent="0.35"/>
    <row r="442" spans="1:17" ht="15" thickBot="1" x14ac:dyDescent="0.35">
      <c r="A442" s="1" t="s">
        <v>27</v>
      </c>
      <c r="B442" s="3">
        <v>48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" thickBot="1" x14ac:dyDescent="0.35">
      <c r="A443" s="8" t="s">
        <v>7</v>
      </c>
      <c r="B443" s="20" t="s">
        <v>8</v>
      </c>
      <c r="C443" s="22"/>
      <c r="D443" s="1"/>
      <c r="E443" s="20" t="s">
        <v>9</v>
      </c>
      <c r="F443" s="22"/>
      <c r="G443" s="7"/>
      <c r="H443" s="8" t="s">
        <v>10</v>
      </c>
      <c r="I443" s="9" t="s">
        <v>11</v>
      </c>
      <c r="J443" s="1"/>
      <c r="K443" s="10"/>
      <c r="L443" s="23" t="s">
        <v>12</v>
      </c>
      <c r="M443" s="16"/>
      <c r="N443" s="24"/>
      <c r="O443" s="25" t="s">
        <v>13</v>
      </c>
      <c r="P443" s="26"/>
      <c r="Q443" s="27"/>
    </row>
    <row r="444" spans="1:17" ht="15" thickBot="1" x14ac:dyDescent="0.35">
      <c r="A444" s="11" t="s">
        <v>14</v>
      </c>
      <c r="B444" s="11" t="s">
        <v>15</v>
      </c>
      <c r="C444" s="11" t="s">
        <v>16</v>
      </c>
      <c r="D444" s="4"/>
      <c r="E444" s="11" t="s">
        <v>17</v>
      </c>
      <c r="F444" s="11" t="s">
        <v>18</v>
      </c>
      <c r="G444" s="11" t="s">
        <v>19</v>
      </c>
      <c r="H444" s="11" t="s">
        <v>20</v>
      </c>
      <c r="I444" s="12" t="s">
        <v>21</v>
      </c>
      <c r="J444" s="13" t="s">
        <v>22</v>
      </c>
      <c r="K444" s="14" t="s">
        <v>23</v>
      </c>
      <c r="L444" s="13" t="s">
        <v>24</v>
      </c>
      <c r="M444" s="13" t="s">
        <v>25</v>
      </c>
      <c r="N444" s="14" t="s">
        <v>26</v>
      </c>
      <c r="O444" s="13" t="s">
        <v>24</v>
      </c>
      <c r="P444" s="13" t="s">
        <v>25</v>
      </c>
      <c r="Q444" s="13" t="s">
        <v>26</v>
      </c>
    </row>
    <row r="445" spans="1:17" ht="15" thickBot="1" x14ac:dyDescent="0.35">
      <c r="A445" s="1">
        <f>A436-$C$9*O440</f>
        <v>-5.7093220795179045</v>
      </c>
      <c r="B445" s="1">
        <f>B436-$C$9*P440</f>
        <v>3.735435396256809</v>
      </c>
      <c r="C445" s="1">
        <f>C436-$C$9*Q440</f>
        <v>3.735968740002737</v>
      </c>
      <c r="D445" s="1"/>
      <c r="E445" s="3">
        <v>0</v>
      </c>
      <c r="F445" s="3">
        <v>0</v>
      </c>
      <c r="G445" s="1">
        <f>A445+(B445*E445)+(C445*F445)</f>
        <v>-5.7093220795179045</v>
      </c>
      <c r="H445" s="1">
        <f>1/(1+EXP(-G445))</f>
        <v>3.3039666529050605E-3</v>
      </c>
      <c r="I445" s="10">
        <f>($C$4-H445)^2</f>
        <v>1.0916195643508669E-5</v>
      </c>
      <c r="J445" s="1">
        <f>2*(H445-$C$4)</f>
        <v>6.607933305810121E-3</v>
      </c>
      <c r="K445" s="10">
        <f xml:space="preserve"> EXP(-G445)/POWER(1+EXP(-G445),2)</f>
        <v>3.2930504572615516E-3</v>
      </c>
      <c r="L445" s="1">
        <v>1</v>
      </c>
      <c r="M445" s="1">
        <f>E445</f>
        <v>0</v>
      </c>
      <c r="N445" s="10">
        <f>F445</f>
        <v>0</v>
      </c>
      <c r="O445" s="1">
        <f>J445*K445*L445</f>
        <v>2.1760257794251856E-5</v>
      </c>
      <c r="P445" s="1">
        <f>J445*K445*M445</f>
        <v>0</v>
      </c>
      <c r="Q445" s="1">
        <f>J445*K445*N445</f>
        <v>0</v>
      </c>
    </row>
    <row r="446" spans="1:17" ht="15" thickBot="1" x14ac:dyDescent="0.35">
      <c r="A446" s="1"/>
      <c r="B446" s="1"/>
      <c r="C446" s="1"/>
      <c r="D446" s="1"/>
      <c r="E446" s="3">
        <v>0</v>
      </c>
      <c r="F446" s="3">
        <v>1</v>
      </c>
      <c r="G446" s="1">
        <f>A445+(B445*E446)+(C445*F446)</f>
        <v>-1.9733533395151674</v>
      </c>
      <c r="H446" s="1">
        <f t="shared" ref="H446:H447" si="339">1/(1+EXP(-G446))</f>
        <v>0.12202916098100838</v>
      </c>
      <c r="I446" s="10">
        <f>($C$5-H446)^2</f>
        <v>1.4891116129728859E-2</v>
      </c>
      <c r="J446" s="1">
        <f>2*(H446-$C$5)</f>
        <v>0.24405832196201677</v>
      </c>
      <c r="K446" s="10">
        <f t="shared" ref="K446:K448" si="340" xml:space="preserve"> EXP(-G446)/POWER(1+EXP(-G446),2)</f>
        <v>0.10713804485127953</v>
      </c>
      <c r="L446" s="1">
        <v>1</v>
      </c>
      <c r="M446" s="1">
        <f t="shared" ref="M446:M448" si="341">E446</f>
        <v>0</v>
      </c>
      <c r="N446" s="10">
        <f t="shared" ref="N446:N448" si="342">F446</f>
        <v>1</v>
      </c>
      <c r="O446" s="1">
        <f t="shared" ref="O446:O448" si="343">J446*K446*L446</f>
        <v>2.6147931444694572E-2</v>
      </c>
      <c r="P446" s="1">
        <f t="shared" ref="P446:P448" si="344">J446*K446*M446</f>
        <v>0</v>
      </c>
      <c r="Q446" s="1">
        <f t="shared" ref="Q446:Q448" si="345">J446*K446*N446</f>
        <v>2.6147931444694572E-2</v>
      </c>
    </row>
    <row r="447" spans="1:17" ht="15" thickBot="1" x14ac:dyDescent="0.35">
      <c r="A447" s="1"/>
      <c r="B447" s="1"/>
      <c r="C447" s="1"/>
      <c r="D447" s="1"/>
      <c r="E447" s="3">
        <v>1</v>
      </c>
      <c r="F447" s="3">
        <v>0</v>
      </c>
      <c r="G447" s="1">
        <f>A445+(B445*E447)+(C445*F447)</f>
        <v>-1.9738866832610955</v>
      </c>
      <c r="H447" s="1">
        <f t="shared" si="339"/>
        <v>0.12197203109291198</v>
      </c>
      <c r="I447" s="10">
        <f>($C$6-H447)^2</f>
        <v>1.4877176368930286E-2</v>
      </c>
      <c r="J447" s="1">
        <f>2*(H447-$C$6)</f>
        <v>0.24394406218582396</v>
      </c>
      <c r="K447" s="10">
        <f t="shared" si="340"/>
        <v>0.10709485472398167</v>
      </c>
      <c r="L447" s="1">
        <v>1</v>
      </c>
      <c r="M447" s="1">
        <f t="shared" si="341"/>
        <v>1</v>
      </c>
      <c r="N447" s="10">
        <f t="shared" si="342"/>
        <v>0</v>
      </c>
      <c r="O447" s="1">
        <f t="shared" si="343"/>
        <v>2.6125153900568767E-2</v>
      </c>
      <c r="P447" s="1">
        <f t="shared" si="344"/>
        <v>2.6125153900568767E-2</v>
      </c>
      <c r="Q447" s="1">
        <f t="shared" si="345"/>
        <v>0</v>
      </c>
    </row>
    <row r="448" spans="1:17" ht="15" thickBot="1" x14ac:dyDescent="0.35">
      <c r="A448" s="1"/>
      <c r="B448" s="1"/>
      <c r="C448" s="1"/>
      <c r="D448" s="1"/>
      <c r="E448" s="3">
        <v>1</v>
      </c>
      <c r="F448" s="3">
        <v>1</v>
      </c>
      <c r="G448" s="1">
        <f>A445+(B445*E448)+(C445*F448)</f>
        <v>1.7620820567416415</v>
      </c>
      <c r="H448" s="1">
        <f>1/(1+EXP(-G448))</f>
        <v>0.85347023137889744</v>
      </c>
      <c r="I448" s="10">
        <f>($C$7-H448)^2</f>
        <v>2.1470973092153855E-2</v>
      </c>
      <c r="J448" s="1">
        <f>2*(H448-$C$7)</f>
        <v>-0.29305953724220513</v>
      </c>
      <c r="K448" s="10">
        <f t="shared" si="340"/>
        <v>0.12505879552894872</v>
      </c>
      <c r="L448" s="1">
        <v>1</v>
      </c>
      <c r="M448" s="1">
        <f t="shared" si="341"/>
        <v>1</v>
      </c>
      <c r="N448" s="10">
        <f t="shared" si="342"/>
        <v>1</v>
      </c>
      <c r="O448" s="1">
        <f t="shared" si="343"/>
        <v>-3.6649672745781264E-2</v>
      </c>
      <c r="P448" s="1">
        <f t="shared" si="344"/>
        <v>-3.6649672745781264E-2</v>
      </c>
      <c r="Q448" s="1">
        <f t="shared" si="345"/>
        <v>-3.6649672745781264E-2</v>
      </c>
    </row>
    <row r="449" spans="1:17" ht="15" thickBot="1" x14ac:dyDescent="0.35">
      <c r="A449" s="1"/>
      <c r="B449" s="1"/>
      <c r="C449" s="1"/>
      <c r="D449" s="1"/>
      <c r="E449" s="1"/>
      <c r="F449" s="1"/>
      <c r="G449" s="1"/>
      <c r="H449" s="1"/>
      <c r="I449" s="10">
        <f>SUM(I445:I448)</f>
        <v>5.1250181786456503E-2</v>
      </c>
      <c r="J449" s="1"/>
      <c r="K449" s="1"/>
      <c r="L449" s="1"/>
      <c r="M449" s="1"/>
      <c r="N449" s="1"/>
      <c r="O449" s="1">
        <f>AVERAGE(O445:O448)</f>
        <v>3.9112932143190813E-3</v>
      </c>
      <c r="P449" s="1">
        <f>AVERAGE(P445:P448)</f>
        <v>-2.6311297113031243E-3</v>
      </c>
      <c r="Q449" s="1">
        <f>AVERAGE(Q445:Q448)</f>
        <v>-2.6254353252716731E-3</v>
      </c>
    </row>
    <row r="450" spans="1:17" ht="15" thickBot="1" x14ac:dyDescent="0.35"/>
    <row r="451" spans="1:17" ht="15" thickBot="1" x14ac:dyDescent="0.35">
      <c r="A451" s="1" t="s">
        <v>27</v>
      </c>
      <c r="B451" s="3">
        <v>49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" thickBot="1" x14ac:dyDescent="0.35">
      <c r="A452" s="8" t="s">
        <v>7</v>
      </c>
      <c r="B452" s="20" t="s">
        <v>8</v>
      </c>
      <c r="C452" s="22"/>
      <c r="D452" s="1"/>
      <c r="E452" s="20" t="s">
        <v>9</v>
      </c>
      <c r="F452" s="22"/>
      <c r="G452" s="7"/>
      <c r="H452" s="8" t="s">
        <v>10</v>
      </c>
      <c r="I452" s="9" t="s">
        <v>11</v>
      </c>
      <c r="J452" s="1"/>
      <c r="K452" s="10"/>
      <c r="L452" s="23" t="s">
        <v>12</v>
      </c>
      <c r="M452" s="16"/>
      <c r="N452" s="24"/>
      <c r="O452" s="25" t="s">
        <v>13</v>
      </c>
      <c r="P452" s="26"/>
      <c r="Q452" s="27"/>
    </row>
    <row r="453" spans="1:17" ht="15" thickBot="1" x14ac:dyDescent="0.35">
      <c r="A453" s="11" t="s">
        <v>14</v>
      </c>
      <c r="B453" s="11" t="s">
        <v>15</v>
      </c>
      <c r="C453" s="11" t="s">
        <v>16</v>
      </c>
      <c r="D453" s="4"/>
      <c r="E453" s="11" t="s">
        <v>17</v>
      </c>
      <c r="F453" s="11" t="s">
        <v>18</v>
      </c>
      <c r="G453" s="11" t="s">
        <v>19</v>
      </c>
      <c r="H453" s="11" t="s">
        <v>20</v>
      </c>
      <c r="I453" s="12" t="s">
        <v>21</v>
      </c>
      <c r="J453" s="13" t="s">
        <v>22</v>
      </c>
      <c r="K453" s="14" t="s">
        <v>23</v>
      </c>
      <c r="L453" s="13" t="s">
        <v>24</v>
      </c>
      <c r="M453" s="13" t="s">
        <v>25</v>
      </c>
      <c r="N453" s="14" t="s">
        <v>26</v>
      </c>
      <c r="O453" s="13" t="s">
        <v>24</v>
      </c>
      <c r="P453" s="13" t="s">
        <v>25</v>
      </c>
      <c r="Q453" s="13" t="s">
        <v>26</v>
      </c>
    </row>
    <row r="454" spans="1:17" ht="15" thickBot="1" x14ac:dyDescent="0.35">
      <c r="A454" s="1">
        <f>A445-$C$9*O449</f>
        <v>-5.7484350116610949</v>
      </c>
      <c r="B454" s="1">
        <f>B445-$C$9*P449</f>
        <v>3.7617466933698402</v>
      </c>
      <c r="C454" s="1">
        <f>C445-$C$9*Q449</f>
        <v>3.7622230932554537</v>
      </c>
      <c r="D454" s="1"/>
      <c r="E454" s="3">
        <v>0</v>
      </c>
      <c r="F454" s="3">
        <v>0</v>
      </c>
      <c r="G454" s="1">
        <f>A454+(B454*E454)+(C454*F454)</f>
        <v>-5.7484350116610949</v>
      </c>
      <c r="H454" s="1">
        <f>1/(1+EXP(-G454))</f>
        <v>3.1776361514250788E-3</v>
      </c>
      <c r="I454" s="10">
        <f>($C$4-H454)^2</f>
        <v>1.0097371510843587E-5</v>
      </c>
      <c r="J454" s="1">
        <f>2*(H454-$C$4)</f>
        <v>6.3552723028501576E-3</v>
      </c>
      <c r="K454" s="10">
        <f xml:space="preserve"> EXP(-G454)/POWER(1+EXP(-G454),2)</f>
        <v>3.1675387799142353E-3</v>
      </c>
      <c r="L454" s="1">
        <v>1</v>
      </c>
      <c r="M454" s="1">
        <f>E454</f>
        <v>0</v>
      </c>
      <c r="N454" s="10">
        <f>F454</f>
        <v>0</v>
      </c>
      <c r="O454" s="1">
        <f>J454*K454*L454</f>
        <v>2.0130571476192721E-5</v>
      </c>
      <c r="P454" s="1">
        <f>J454*K454*M454</f>
        <v>0</v>
      </c>
      <c r="Q454" s="1">
        <f>J454*K454*N454</f>
        <v>0</v>
      </c>
    </row>
    <row r="455" spans="1:17" ht="15" thickBot="1" x14ac:dyDescent="0.35">
      <c r="A455" s="1"/>
      <c r="B455" s="1"/>
      <c r="C455" s="1"/>
      <c r="D455" s="1"/>
      <c r="E455" s="3">
        <v>0</v>
      </c>
      <c r="F455" s="3">
        <v>1</v>
      </c>
      <c r="G455" s="1">
        <f>A454+(B454*E455)+(C454*F455)</f>
        <v>-1.9862119184056413</v>
      </c>
      <c r="H455" s="1">
        <f t="shared" ref="H455:H456" si="346">1/(1+EXP(-G455))</f>
        <v>0.12065819996960511</v>
      </c>
      <c r="I455" s="10">
        <f>($C$5-H455)^2</f>
        <v>1.4558401219905216E-2</v>
      </c>
      <c r="J455" s="1">
        <f>2*(H455-$C$5)</f>
        <v>0.24131639993921022</v>
      </c>
      <c r="K455" s="10">
        <f t="shared" ref="K455:K457" si="347" xml:space="preserve"> EXP(-G455)/POWER(1+EXP(-G455),2)</f>
        <v>0.10609979874969989</v>
      </c>
      <c r="L455" s="1">
        <v>1</v>
      </c>
      <c r="M455" s="1">
        <f t="shared" ref="M455:M457" si="348">E455</f>
        <v>0</v>
      </c>
      <c r="N455" s="10">
        <f t="shared" ref="N455:N457" si="349">F455</f>
        <v>1</v>
      </c>
      <c r="O455" s="1">
        <f t="shared" ref="O455:O457" si="350">J455*K455*L455</f>
        <v>2.5603621468552298E-2</v>
      </c>
      <c r="P455" s="1">
        <f t="shared" ref="P455:P457" si="351">J455*K455*M455</f>
        <v>0</v>
      </c>
      <c r="Q455" s="1">
        <f t="shared" ref="Q455:Q457" si="352">J455*K455*N455</f>
        <v>2.5603621468552298E-2</v>
      </c>
    </row>
    <row r="456" spans="1:17" ht="15" thickBot="1" x14ac:dyDescent="0.35">
      <c r="A456" s="1"/>
      <c r="B456" s="1"/>
      <c r="C456" s="1"/>
      <c r="D456" s="1"/>
      <c r="E456" s="3">
        <v>1</v>
      </c>
      <c r="F456" s="3">
        <v>0</v>
      </c>
      <c r="G456" s="1">
        <f>A454+(B454*E456)+(C454*F456)</f>
        <v>-1.9866883182912547</v>
      </c>
      <c r="H456" s="1">
        <f t="shared" si="346"/>
        <v>0.12060766317150176</v>
      </c>
      <c r="I456" s="10">
        <f>($C$6-H456)^2</f>
        <v>1.4546208415690423E-2</v>
      </c>
      <c r="J456" s="1">
        <f>2*(H456-$C$6)</f>
        <v>0.24121532634300352</v>
      </c>
      <c r="K456" s="10">
        <f t="shared" si="347"/>
        <v>0.10606145475581136</v>
      </c>
      <c r="L456" s="1">
        <v>1</v>
      </c>
      <c r="M456" s="1">
        <f t="shared" si="348"/>
        <v>1</v>
      </c>
      <c r="N456" s="10">
        <f t="shared" si="349"/>
        <v>0</v>
      </c>
      <c r="O456" s="1">
        <f t="shared" si="350"/>
        <v>2.558364842133674E-2</v>
      </c>
      <c r="P456" s="1">
        <f t="shared" si="351"/>
        <v>2.558364842133674E-2</v>
      </c>
      <c r="Q456" s="1">
        <f t="shared" si="352"/>
        <v>0</v>
      </c>
    </row>
    <row r="457" spans="1:17" ht="15" thickBot="1" x14ac:dyDescent="0.35">
      <c r="A457" s="1"/>
      <c r="B457" s="1"/>
      <c r="C457" s="1"/>
      <c r="D457" s="1"/>
      <c r="E457" s="3">
        <v>1</v>
      </c>
      <c r="F457" s="3">
        <v>1</v>
      </c>
      <c r="G457" s="1">
        <f>A454+(B454*E457)+(C454*F457)</f>
        <v>1.775534774964199</v>
      </c>
      <c r="H457" s="1">
        <f>1/(1+EXP(-G457))</f>
        <v>0.85514462489651477</v>
      </c>
      <c r="I457" s="10">
        <f>($C$7-H457)^2</f>
        <v>2.0983079696371407E-2</v>
      </c>
      <c r="J457" s="1">
        <f>2*(H457-$C$7)</f>
        <v>-0.28971075020697046</v>
      </c>
      <c r="K457" s="10">
        <f t="shared" si="347"/>
        <v>0.12387229540711378</v>
      </c>
      <c r="L457" s="1">
        <v>1</v>
      </c>
      <c r="M457" s="1">
        <f t="shared" si="348"/>
        <v>1</v>
      </c>
      <c r="N457" s="10">
        <f t="shared" si="349"/>
        <v>1</v>
      </c>
      <c r="O457" s="1">
        <f t="shared" si="350"/>
        <v>-3.5887135632254395E-2</v>
      </c>
      <c r="P457" s="1">
        <f t="shared" si="351"/>
        <v>-3.5887135632254395E-2</v>
      </c>
      <c r="Q457" s="1">
        <f t="shared" si="352"/>
        <v>-3.5887135632254395E-2</v>
      </c>
    </row>
    <row r="458" spans="1:17" ht="15" thickBot="1" x14ac:dyDescent="0.35">
      <c r="A458" s="1"/>
      <c r="B458" s="1"/>
      <c r="C458" s="1"/>
      <c r="D458" s="1"/>
      <c r="E458" s="1"/>
      <c r="F458" s="1"/>
      <c r="G458" s="1"/>
      <c r="H458" s="1"/>
      <c r="I458" s="10">
        <f>SUM(I454:I457)</f>
        <v>5.0097786703477892E-2</v>
      </c>
      <c r="J458" s="1"/>
      <c r="K458" s="1"/>
      <c r="L458" s="1"/>
      <c r="M458" s="1"/>
      <c r="N458" s="1"/>
      <c r="O458" s="1">
        <f>AVERAGE(O454:O457)</f>
        <v>3.8300662072777089E-3</v>
      </c>
      <c r="P458" s="1">
        <f>AVERAGE(P454:P457)</f>
        <v>-2.5758718027294137E-3</v>
      </c>
      <c r="Q458" s="1">
        <f>AVERAGE(Q454:Q457)</f>
        <v>-2.5708785409255244E-3</v>
      </c>
    </row>
    <row r="459" spans="1:17" ht="15" thickBot="1" x14ac:dyDescent="0.35"/>
    <row r="460" spans="1:17" ht="15" thickBot="1" x14ac:dyDescent="0.35">
      <c r="A460" s="1" t="s">
        <v>27</v>
      </c>
      <c r="B460" s="3">
        <v>50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" thickBot="1" x14ac:dyDescent="0.35">
      <c r="A461" s="8" t="s">
        <v>7</v>
      </c>
      <c r="B461" s="20" t="s">
        <v>8</v>
      </c>
      <c r="C461" s="22"/>
      <c r="D461" s="1"/>
      <c r="E461" s="20" t="s">
        <v>9</v>
      </c>
      <c r="F461" s="22"/>
      <c r="G461" s="7"/>
      <c r="H461" s="8" t="s">
        <v>10</v>
      </c>
      <c r="I461" s="9" t="s">
        <v>11</v>
      </c>
      <c r="J461" s="1"/>
      <c r="K461" s="10"/>
      <c r="L461" s="23" t="s">
        <v>12</v>
      </c>
      <c r="M461" s="16"/>
      <c r="N461" s="24"/>
      <c r="O461" s="25" t="s">
        <v>13</v>
      </c>
      <c r="P461" s="26"/>
      <c r="Q461" s="27"/>
    </row>
    <row r="462" spans="1:17" ht="15" thickBot="1" x14ac:dyDescent="0.35">
      <c r="A462" s="11" t="s">
        <v>14</v>
      </c>
      <c r="B462" s="11" t="s">
        <v>15</v>
      </c>
      <c r="C462" s="11" t="s">
        <v>16</v>
      </c>
      <c r="D462" s="4"/>
      <c r="E462" s="11" t="s">
        <v>17</v>
      </c>
      <c r="F462" s="11" t="s">
        <v>18</v>
      </c>
      <c r="G462" s="11" t="s">
        <v>19</v>
      </c>
      <c r="H462" s="11" t="s">
        <v>20</v>
      </c>
      <c r="I462" s="12" t="s">
        <v>21</v>
      </c>
      <c r="J462" s="13" t="s">
        <v>22</v>
      </c>
      <c r="K462" s="14" t="s">
        <v>23</v>
      </c>
      <c r="L462" s="13" t="s">
        <v>24</v>
      </c>
      <c r="M462" s="13" t="s">
        <v>25</v>
      </c>
      <c r="N462" s="14" t="s">
        <v>26</v>
      </c>
      <c r="O462" s="13" t="s">
        <v>24</v>
      </c>
      <c r="P462" s="13" t="s">
        <v>25</v>
      </c>
      <c r="Q462" s="13" t="s">
        <v>26</v>
      </c>
    </row>
    <row r="463" spans="1:17" ht="15" thickBot="1" x14ac:dyDescent="0.35">
      <c r="A463" s="1">
        <f>A454-$C$9*O458</f>
        <v>-5.7867356737338724</v>
      </c>
      <c r="B463" s="1">
        <f>B454-$C$9*P458</f>
        <v>3.7875054113971345</v>
      </c>
      <c r="C463" s="1">
        <f>C454-$C$9*Q458</f>
        <v>3.7879318786647089</v>
      </c>
      <c r="D463" s="1"/>
      <c r="E463" s="3">
        <v>0</v>
      </c>
      <c r="F463" s="3">
        <v>0</v>
      </c>
      <c r="G463" s="1">
        <f>A463+(B463*E463)+(C463*F463)</f>
        <v>-5.7867356737338724</v>
      </c>
      <c r="H463" s="1">
        <f>1/(1+EXP(-G463))</f>
        <v>3.0585970216200084E-3</v>
      </c>
      <c r="I463" s="10">
        <f>($C$4-H463)^2</f>
        <v>9.3550157406627856E-6</v>
      </c>
      <c r="J463" s="1">
        <f>2*(H463-$C$4)</f>
        <v>6.1171940432400169E-3</v>
      </c>
      <c r="K463" s="10">
        <f xml:space="preserve"> EXP(-G463)/POWER(1+EXP(-G463),2)</f>
        <v>3.0492420058793458E-3</v>
      </c>
      <c r="L463" s="1">
        <v>1</v>
      </c>
      <c r="M463" s="1">
        <f>E463</f>
        <v>0</v>
      </c>
      <c r="N463" s="10">
        <f>F463</f>
        <v>0</v>
      </c>
      <c r="O463" s="1">
        <f>J463*K463*L463</f>
        <v>1.8652805034762373E-5</v>
      </c>
      <c r="P463" s="1">
        <f>J463*K463*M463</f>
        <v>0</v>
      </c>
      <c r="Q463" s="1">
        <f>J463*K463*N463</f>
        <v>0</v>
      </c>
    </row>
    <row r="464" spans="1:17" ht="15" thickBot="1" x14ac:dyDescent="0.35">
      <c r="A464" s="1"/>
      <c r="B464" s="1"/>
      <c r="C464" s="1"/>
      <c r="D464" s="1"/>
      <c r="E464" s="3">
        <v>0</v>
      </c>
      <c r="F464" s="3">
        <v>1</v>
      </c>
      <c r="G464" s="1">
        <f>A463+(B463*E464)+(C463*F464)</f>
        <v>-1.9988037950691635</v>
      </c>
      <c r="H464" s="1">
        <f t="shared" ref="H464:H465" si="353">1/(1+EXP(-G464))</f>
        <v>0.11932857308718584</v>
      </c>
      <c r="I464" s="10">
        <f>($C$5-H464)^2</f>
        <v>1.4239308355023851E-2</v>
      </c>
      <c r="J464" s="1">
        <f>2*(H464-$C$5)</f>
        <v>0.23865714617437167</v>
      </c>
      <c r="K464" s="10">
        <f t="shared" ref="K464:K466" si="354" xml:space="preserve"> EXP(-G464)/POWER(1+EXP(-G464),2)</f>
        <v>0.105089264732162</v>
      </c>
      <c r="L464" s="1">
        <v>1</v>
      </c>
      <c r="M464" s="1">
        <f t="shared" ref="M464:M466" si="355">E464</f>
        <v>0</v>
      </c>
      <c r="N464" s="10">
        <f t="shared" ref="N464:N466" si="356">F464</f>
        <v>1</v>
      </c>
      <c r="O464" s="1">
        <f t="shared" ref="O464:O466" si="357">J464*K464*L464</f>
        <v>2.5080304014540828E-2</v>
      </c>
      <c r="P464" s="1">
        <f t="shared" ref="P464:P466" si="358">J464*K464*M464</f>
        <v>0</v>
      </c>
      <c r="Q464" s="1">
        <f t="shared" ref="Q464:Q466" si="359">J464*K464*N464</f>
        <v>2.5080304014540828E-2</v>
      </c>
    </row>
    <row r="465" spans="1:17" ht="15" thickBot="1" x14ac:dyDescent="0.35">
      <c r="A465" s="1"/>
      <c r="B465" s="1"/>
      <c r="C465" s="1"/>
      <c r="D465" s="1"/>
      <c r="E465" s="3">
        <v>1</v>
      </c>
      <c r="F465" s="3">
        <v>0</v>
      </c>
      <c r="G465" s="1">
        <f>A463+(B463*E465)+(C463*F465)</f>
        <v>-1.999230262336738</v>
      </c>
      <c r="H465" s="1">
        <f t="shared" si="353"/>
        <v>0.11928376323089021</v>
      </c>
      <c r="I465" s="10">
        <f>($C$6-H465)^2</f>
        <v>1.4228616170523076E-2</v>
      </c>
      <c r="J465" s="1">
        <f>2*(H465-$C$6)</f>
        <v>0.23856752646178042</v>
      </c>
      <c r="K465" s="10">
        <f t="shared" si="354"/>
        <v>0.10505514706036713</v>
      </c>
      <c r="L465" s="1">
        <v>1</v>
      </c>
      <c r="M465" s="1">
        <f t="shared" si="355"/>
        <v>1</v>
      </c>
      <c r="N465" s="10">
        <f t="shared" si="356"/>
        <v>0</v>
      </c>
      <c r="O465" s="1">
        <f t="shared" si="357"/>
        <v>2.5062746576270369E-2</v>
      </c>
      <c r="P465" s="1">
        <f t="shared" si="358"/>
        <v>2.5062746576270369E-2</v>
      </c>
      <c r="Q465" s="1">
        <f t="shared" si="359"/>
        <v>0</v>
      </c>
    </row>
    <row r="466" spans="1:17" ht="15" thickBot="1" x14ac:dyDescent="0.35">
      <c r="A466" s="1"/>
      <c r="B466" s="1"/>
      <c r="C466" s="1"/>
      <c r="D466" s="1"/>
      <c r="E466" s="3">
        <v>1</v>
      </c>
      <c r="F466" s="3">
        <v>1</v>
      </c>
      <c r="G466" s="1">
        <f>A463+(B463*E466)+(C463*F466)</f>
        <v>1.788701616327971</v>
      </c>
      <c r="H466" s="1">
        <f>1/(1+EXP(-G466))</f>
        <v>0.85676801710840345</v>
      </c>
      <c r="I466" s="10">
        <f>($C$7-H466)^2</f>
        <v>2.0515400923058608E-2</v>
      </c>
      <c r="J466" s="1">
        <f>2*(H466-$C$7)</f>
        <v>-0.28646396578319311</v>
      </c>
      <c r="K466" s="10">
        <f t="shared" si="354"/>
        <v>0.12271658196853788</v>
      </c>
      <c r="L466" s="1">
        <v>1</v>
      </c>
      <c r="M466" s="1">
        <f t="shared" si="355"/>
        <v>1</v>
      </c>
      <c r="N466" s="10">
        <f t="shared" si="356"/>
        <v>1</v>
      </c>
      <c r="O466" s="1">
        <f t="shared" si="357"/>
        <v>-3.515387873806565E-2</v>
      </c>
      <c r="P466" s="1">
        <f t="shared" si="358"/>
        <v>-3.515387873806565E-2</v>
      </c>
      <c r="Q466" s="1">
        <f t="shared" si="359"/>
        <v>-3.515387873806565E-2</v>
      </c>
    </row>
    <row r="467" spans="1:17" ht="15" thickBot="1" x14ac:dyDescent="0.35">
      <c r="A467" s="1"/>
      <c r="B467" s="1"/>
      <c r="C467" s="1"/>
      <c r="D467" s="1"/>
      <c r="E467" s="1"/>
      <c r="F467" s="1"/>
      <c r="G467" s="1"/>
      <c r="H467" s="1"/>
      <c r="I467" s="10">
        <f>SUM(I463:I466)</f>
        <v>4.8992680464346197E-2</v>
      </c>
      <c r="J467" s="1"/>
      <c r="K467" s="1"/>
      <c r="L467" s="1"/>
      <c r="M467" s="1"/>
      <c r="N467" s="1"/>
      <c r="O467" s="1">
        <f>AVERAGE(O463:O466)</f>
        <v>3.7519561644450763E-3</v>
      </c>
      <c r="P467" s="1">
        <f>AVERAGE(P463:P466)</f>
        <v>-2.5227830404488203E-3</v>
      </c>
      <c r="Q467" s="1">
        <f>AVERAGE(Q463:Q466)</f>
        <v>-2.5183936808812054E-3</v>
      </c>
    </row>
  </sheetData>
  <mergeCells count="394">
    <mergeCell ref="B461:C461"/>
    <mergeCell ref="E461:F461"/>
    <mergeCell ref="L461:N461"/>
    <mergeCell ref="O461:Q461"/>
    <mergeCell ref="B443:C443"/>
    <mergeCell ref="E443:F443"/>
    <mergeCell ref="L443:N443"/>
    <mergeCell ref="O443:Q443"/>
    <mergeCell ref="B452:C452"/>
    <mergeCell ref="E452:F452"/>
    <mergeCell ref="L452:N452"/>
    <mergeCell ref="O452:Q452"/>
    <mergeCell ref="B425:C425"/>
    <mergeCell ref="E425:F425"/>
    <mergeCell ref="L425:N425"/>
    <mergeCell ref="O425:Q425"/>
    <mergeCell ref="B434:C434"/>
    <mergeCell ref="E434:F434"/>
    <mergeCell ref="L434:N434"/>
    <mergeCell ref="O434:Q434"/>
    <mergeCell ref="B407:C407"/>
    <mergeCell ref="E407:F407"/>
    <mergeCell ref="L407:N407"/>
    <mergeCell ref="O407:Q407"/>
    <mergeCell ref="B416:C416"/>
    <mergeCell ref="E416:F416"/>
    <mergeCell ref="L416:N416"/>
    <mergeCell ref="O416:Q416"/>
    <mergeCell ref="B389:C389"/>
    <mergeCell ref="E389:F389"/>
    <mergeCell ref="L389:N389"/>
    <mergeCell ref="O389:Q389"/>
    <mergeCell ref="B398:C398"/>
    <mergeCell ref="E398:F398"/>
    <mergeCell ref="L398:N398"/>
    <mergeCell ref="O398:Q398"/>
    <mergeCell ref="B371:C371"/>
    <mergeCell ref="E371:F371"/>
    <mergeCell ref="L371:N371"/>
    <mergeCell ref="O371:Q371"/>
    <mergeCell ref="B380:C380"/>
    <mergeCell ref="E380:F380"/>
    <mergeCell ref="L380:N380"/>
    <mergeCell ref="O380:Q380"/>
    <mergeCell ref="B353:C353"/>
    <mergeCell ref="E353:F353"/>
    <mergeCell ref="L353:N353"/>
    <mergeCell ref="O353:Q353"/>
    <mergeCell ref="B362:C362"/>
    <mergeCell ref="E362:F362"/>
    <mergeCell ref="L362:N362"/>
    <mergeCell ref="O362:Q362"/>
    <mergeCell ref="B335:C335"/>
    <mergeCell ref="E335:F335"/>
    <mergeCell ref="L335:N335"/>
    <mergeCell ref="O335:Q335"/>
    <mergeCell ref="B344:C344"/>
    <mergeCell ref="E344:F344"/>
    <mergeCell ref="L344:N344"/>
    <mergeCell ref="O344:Q344"/>
    <mergeCell ref="B317:C317"/>
    <mergeCell ref="E317:F317"/>
    <mergeCell ref="L317:N317"/>
    <mergeCell ref="O317:Q317"/>
    <mergeCell ref="B326:C326"/>
    <mergeCell ref="E326:F326"/>
    <mergeCell ref="L326:N326"/>
    <mergeCell ref="O326:Q326"/>
    <mergeCell ref="B299:C299"/>
    <mergeCell ref="E299:F299"/>
    <mergeCell ref="L299:N299"/>
    <mergeCell ref="O299:Q299"/>
    <mergeCell ref="B308:C308"/>
    <mergeCell ref="E308:F308"/>
    <mergeCell ref="L308:N308"/>
    <mergeCell ref="O308:Q308"/>
    <mergeCell ref="B281:C281"/>
    <mergeCell ref="E281:F281"/>
    <mergeCell ref="L281:N281"/>
    <mergeCell ref="O281:Q281"/>
    <mergeCell ref="B290:C290"/>
    <mergeCell ref="E290:F290"/>
    <mergeCell ref="L290:N290"/>
    <mergeCell ref="O290:Q290"/>
    <mergeCell ref="B263:C263"/>
    <mergeCell ref="E263:F263"/>
    <mergeCell ref="L263:N263"/>
    <mergeCell ref="O263:Q263"/>
    <mergeCell ref="B272:C272"/>
    <mergeCell ref="E272:F272"/>
    <mergeCell ref="L272:N272"/>
    <mergeCell ref="O272:Q272"/>
    <mergeCell ref="B245:C245"/>
    <mergeCell ref="E245:F245"/>
    <mergeCell ref="L245:N245"/>
    <mergeCell ref="O245:Q245"/>
    <mergeCell ref="B254:C254"/>
    <mergeCell ref="E254:F254"/>
    <mergeCell ref="L254:N254"/>
    <mergeCell ref="O254:Q254"/>
    <mergeCell ref="B227:C227"/>
    <mergeCell ref="E227:F227"/>
    <mergeCell ref="L227:N227"/>
    <mergeCell ref="O227:Q227"/>
    <mergeCell ref="B236:C236"/>
    <mergeCell ref="E236:F236"/>
    <mergeCell ref="L236:N236"/>
    <mergeCell ref="O236:Q236"/>
    <mergeCell ref="B209:C209"/>
    <mergeCell ref="E209:F209"/>
    <mergeCell ref="L209:N209"/>
    <mergeCell ref="O209:Q209"/>
    <mergeCell ref="B218:C218"/>
    <mergeCell ref="E218:F218"/>
    <mergeCell ref="L218:N218"/>
    <mergeCell ref="O218:Q218"/>
    <mergeCell ref="R192:T192"/>
    <mergeCell ref="R193:T193"/>
    <mergeCell ref="R194:T194"/>
    <mergeCell ref="R195:T195"/>
    <mergeCell ref="R196:T196"/>
    <mergeCell ref="B200:C200"/>
    <mergeCell ref="E200:F200"/>
    <mergeCell ref="L200:N200"/>
    <mergeCell ref="O200:Q200"/>
    <mergeCell ref="R186:T186"/>
    <mergeCell ref="R187:T187"/>
    <mergeCell ref="R188:T188"/>
    <mergeCell ref="R189:T189"/>
    <mergeCell ref="R190:T190"/>
    <mergeCell ref="R191:T191"/>
    <mergeCell ref="R180:T180"/>
    <mergeCell ref="R181:T181"/>
    <mergeCell ref="R182:T182"/>
    <mergeCell ref="R183:T183"/>
    <mergeCell ref="R184:T184"/>
    <mergeCell ref="R185:T185"/>
    <mergeCell ref="R174:T174"/>
    <mergeCell ref="R175:T175"/>
    <mergeCell ref="R176:T176"/>
    <mergeCell ref="R177:T177"/>
    <mergeCell ref="R178:T178"/>
    <mergeCell ref="R179:T179"/>
    <mergeCell ref="R168:T168"/>
    <mergeCell ref="R169:T169"/>
    <mergeCell ref="R170:T170"/>
    <mergeCell ref="R171:T171"/>
    <mergeCell ref="R172:T172"/>
    <mergeCell ref="R173:T173"/>
    <mergeCell ref="R162:T162"/>
    <mergeCell ref="R163:T163"/>
    <mergeCell ref="R164:T164"/>
    <mergeCell ref="R165:T165"/>
    <mergeCell ref="R166:T166"/>
    <mergeCell ref="R167:T167"/>
    <mergeCell ref="R156:T156"/>
    <mergeCell ref="R157:T157"/>
    <mergeCell ref="R158:T158"/>
    <mergeCell ref="R159:T159"/>
    <mergeCell ref="R160:T160"/>
    <mergeCell ref="R161:T161"/>
    <mergeCell ref="R150:T150"/>
    <mergeCell ref="R151:T151"/>
    <mergeCell ref="R152:T152"/>
    <mergeCell ref="R153:T153"/>
    <mergeCell ref="R154:T154"/>
    <mergeCell ref="R155:T155"/>
    <mergeCell ref="R144:T144"/>
    <mergeCell ref="R145:T145"/>
    <mergeCell ref="R146:T146"/>
    <mergeCell ref="R147:T147"/>
    <mergeCell ref="R148:T148"/>
    <mergeCell ref="R149:T149"/>
    <mergeCell ref="R138:T138"/>
    <mergeCell ref="R139:T139"/>
    <mergeCell ref="R140:T140"/>
    <mergeCell ref="R141:T141"/>
    <mergeCell ref="R142:T142"/>
    <mergeCell ref="R143:T143"/>
    <mergeCell ref="R132:T132"/>
    <mergeCell ref="R133:T133"/>
    <mergeCell ref="R134:T134"/>
    <mergeCell ref="R135:T135"/>
    <mergeCell ref="R136:T136"/>
    <mergeCell ref="R137:T137"/>
    <mergeCell ref="R126:T126"/>
    <mergeCell ref="R127:T127"/>
    <mergeCell ref="R128:T128"/>
    <mergeCell ref="R129:T129"/>
    <mergeCell ref="R130:T130"/>
    <mergeCell ref="R131:T131"/>
    <mergeCell ref="R120:T120"/>
    <mergeCell ref="R121:T121"/>
    <mergeCell ref="R122:T122"/>
    <mergeCell ref="R123:T123"/>
    <mergeCell ref="R124:T124"/>
    <mergeCell ref="R125:T125"/>
    <mergeCell ref="R114:T114"/>
    <mergeCell ref="R115:T115"/>
    <mergeCell ref="R116:T116"/>
    <mergeCell ref="R117:T117"/>
    <mergeCell ref="R118:T118"/>
    <mergeCell ref="R119:T119"/>
    <mergeCell ref="R108:T108"/>
    <mergeCell ref="R109:T109"/>
    <mergeCell ref="R110:T110"/>
    <mergeCell ref="R111:T111"/>
    <mergeCell ref="R112:T112"/>
    <mergeCell ref="R113:T113"/>
    <mergeCell ref="R102:T102"/>
    <mergeCell ref="R103:T103"/>
    <mergeCell ref="R104:T104"/>
    <mergeCell ref="R105:T105"/>
    <mergeCell ref="R106:T106"/>
    <mergeCell ref="R107:T107"/>
    <mergeCell ref="R96:T96"/>
    <mergeCell ref="R97:T97"/>
    <mergeCell ref="R98:T98"/>
    <mergeCell ref="R99:T99"/>
    <mergeCell ref="R100:T100"/>
    <mergeCell ref="R101:T101"/>
    <mergeCell ref="R90:T90"/>
    <mergeCell ref="R91:T91"/>
    <mergeCell ref="R92:T92"/>
    <mergeCell ref="R93:T93"/>
    <mergeCell ref="R94:T94"/>
    <mergeCell ref="R95:T95"/>
    <mergeCell ref="R84:T84"/>
    <mergeCell ref="R85:T85"/>
    <mergeCell ref="R86:T86"/>
    <mergeCell ref="R87:T87"/>
    <mergeCell ref="R88:T88"/>
    <mergeCell ref="R89:T89"/>
    <mergeCell ref="R78:T78"/>
    <mergeCell ref="R79:T79"/>
    <mergeCell ref="R80:T80"/>
    <mergeCell ref="R81:T81"/>
    <mergeCell ref="R82:T82"/>
    <mergeCell ref="R83:T83"/>
    <mergeCell ref="R72:T72"/>
    <mergeCell ref="R73:T73"/>
    <mergeCell ref="R74:T74"/>
    <mergeCell ref="R75:T75"/>
    <mergeCell ref="R76:T76"/>
    <mergeCell ref="R77:T77"/>
    <mergeCell ref="R66:T66"/>
    <mergeCell ref="R67:T67"/>
    <mergeCell ref="R68:T68"/>
    <mergeCell ref="R69:T69"/>
    <mergeCell ref="R70:T70"/>
    <mergeCell ref="R71:T71"/>
    <mergeCell ref="R60:T60"/>
    <mergeCell ref="R61:T61"/>
    <mergeCell ref="R62:T62"/>
    <mergeCell ref="R63:T63"/>
    <mergeCell ref="R64:T64"/>
    <mergeCell ref="R65:T65"/>
    <mergeCell ref="R54:T54"/>
    <mergeCell ref="R55:T55"/>
    <mergeCell ref="R56:T56"/>
    <mergeCell ref="R57:T57"/>
    <mergeCell ref="R58:T58"/>
    <mergeCell ref="R59:T59"/>
    <mergeCell ref="R48:T48"/>
    <mergeCell ref="R49:T49"/>
    <mergeCell ref="R50:T50"/>
    <mergeCell ref="R51:T51"/>
    <mergeCell ref="R52:T52"/>
    <mergeCell ref="R53:T53"/>
    <mergeCell ref="R42:T42"/>
    <mergeCell ref="R43:T43"/>
    <mergeCell ref="R44:T44"/>
    <mergeCell ref="R45:T45"/>
    <mergeCell ref="R46:T46"/>
    <mergeCell ref="R47:T47"/>
    <mergeCell ref="R36:T36"/>
    <mergeCell ref="R37:T37"/>
    <mergeCell ref="R38:T38"/>
    <mergeCell ref="R39:T39"/>
    <mergeCell ref="R40:T40"/>
    <mergeCell ref="R41:T41"/>
    <mergeCell ref="R30:T30"/>
    <mergeCell ref="R31:T31"/>
    <mergeCell ref="R32:T32"/>
    <mergeCell ref="R33:T33"/>
    <mergeCell ref="R34:T34"/>
    <mergeCell ref="R35:T35"/>
    <mergeCell ref="R24:T24"/>
    <mergeCell ref="R25:T25"/>
    <mergeCell ref="R26:T26"/>
    <mergeCell ref="R27:T27"/>
    <mergeCell ref="R28:T28"/>
    <mergeCell ref="R29:T29"/>
    <mergeCell ref="R18:T18"/>
    <mergeCell ref="R19:T19"/>
    <mergeCell ref="R20:T20"/>
    <mergeCell ref="R21:T21"/>
    <mergeCell ref="R22:T22"/>
    <mergeCell ref="R23:T23"/>
    <mergeCell ref="R12:T12"/>
    <mergeCell ref="R13:T13"/>
    <mergeCell ref="R14:T14"/>
    <mergeCell ref="R15:T15"/>
    <mergeCell ref="R16:T16"/>
    <mergeCell ref="R17:T17"/>
    <mergeCell ref="B182:C182"/>
    <mergeCell ref="E182:F182"/>
    <mergeCell ref="L182:N182"/>
    <mergeCell ref="O182:Q182"/>
    <mergeCell ref="B191:C191"/>
    <mergeCell ref="E191:F191"/>
    <mergeCell ref="L191:N191"/>
    <mergeCell ref="O191:Q191"/>
    <mergeCell ref="B164:C164"/>
    <mergeCell ref="E164:F164"/>
    <mergeCell ref="L164:N164"/>
    <mergeCell ref="O164:Q164"/>
    <mergeCell ref="B173:C173"/>
    <mergeCell ref="E173:F173"/>
    <mergeCell ref="L173:N173"/>
    <mergeCell ref="O173:Q173"/>
    <mergeCell ref="B146:C146"/>
    <mergeCell ref="E146:F146"/>
    <mergeCell ref="L146:N146"/>
    <mergeCell ref="O146:Q146"/>
    <mergeCell ref="B155:C155"/>
    <mergeCell ref="E155:F155"/>
    <mergeCell ref="L155:N155"/>
    <mergeCell ref="O155:Q155"/>
    <mergeCell ref="B128:C128"/>
    <mergeCell ref="E128:F128"/>
    <mergeCell ref="L128:N128"/>
    <mergeCell ref="O128:Q128"/>
    <mergeCell ref="B137:C137"/>
    <mergeCell ref="E137:F137"/>
    <mergeCell ref="L137:N137"/>
    <mergeCell ref="O137:Q137"/>
    <mergeCell ref="B110:C110"/>
    <mergeCell ref="E110:F110"/>
    <mergeCell ref="L110:N110"/>
    <mergeCell ref="O110:Q110"/>
    <mergeCell ref="B119:C119"/>
    <mergeCell ref="E119:F119"/>
    <mergeCell ref="L119:N119"/>
    <mergeCell ref="O119:Q119"/>
    <mergeCell ref="B92:C92"/>
    <mergeCell ref="E92:F92"/>
    <mergeCell ref="L92:N92"/>
    <mergeCell ref="O92:Q92"/>
    <mergeCell ref="B101:C101"/>
    <mergeCell ref="E101:F101"/>
    <mergeCell ref="L101:N101"/>
    <mergeCell ref="O101:Q101"/>
    <mergeCell ref="B74:C74"/>
    <mergeCell ref="E74:F74"/>
    <mergeCell ref="L74:N74"/>
    <mergeCell ref="O74:Q74"/>
    <mergeCell ref="B83:C83"/>
    <mergeCell ref="E83:F83"/>
    <mergeCell ref="L83:N83"/>
    <mergeCell ref="O83:Q83"/>
    <mergeCell ref="B56:C56"/>
    <mergeCell ref="E56:F56"/>
    <mergeCell ref="L56:N56"/>
    <mergeCell ref="O56:Q56"/>
    <mergeCell ref="B65:C65"/>
    <mergeCell ref="E65:F65"/>
    <mergeCell ref="L65:N65"/>
    <mergeCell ref="O65:Q65"/>
    <mergeCell ref="B38:C38"/>
    <mergeCell ref="E38:F38"/>
    <mergeCell ref="L38:N38"/>
    <mergeCell ref="O38:Q38"/>
    <mergeCell ref="B47:C47"/>
    <mergeCell ref="E47:F47"/>
    <mergeCell ref="L47:N47"/>
    <mergeCell ref="O47:Q47"/>
    <mergeCell ref="B20:C20"/>
    <mergeCell ref="E20:F20"/>
    <mergeCell ref="L20:N20"/>
    <mergeCell ref="O20:Q20"/>
    <mergeCell ref="B29:C29"/>
    <mergeCell ref="E29:F29"/>
    <mergeCell ref="L29:N29"/>
    <mergeCell ref="O29:Q29"/>
    <mergeCell ref="A1:C1"/>
    <mergeCell ref="A2:C2"/>
    <mergeCell ref="A9:B9"/>
    <mergeCell ref="R10:T10"/>
    <mergeCell ref="B11:C11"/>
    <mergeCell ref="E11:F11"/>
    <mergeCell ref="L11:N11"/>
    <mergeCell ref="O11:Q11"/>
    <mergeCell ref="R11:T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rajushrinivass76@outlook.com</dc:creator>
  <cp:lastModifiedBy>rajushrinivass76@outlook.com</cp:lastModifiedBy>
  <dcterms:created xsi:type="dcterms:W3CDTF">2026-01-12T05:29:43Z</dcterms:created>
  <dcterms:modified xsi:type="dcterms:W3CDTF">2026-01-12T09:48:40Z</dcterms:modified>
</cp:coreProperties>
</file>